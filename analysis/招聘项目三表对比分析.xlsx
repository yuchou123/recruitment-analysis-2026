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custom-properties" Target="docProps/custom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总览看板" sheetId="1" r:id="rId3"/>
    <sheet name="城市需求对比" sheetId="2" r:id="rId4"/>
    <sheet name="企业类型分析" sheetId="3" r:id="rId5"/>
    <sheet name="年限薪资对比" sheetId="4" r:id="rId6"/>
    <sheet name="核心技能对比" sheetId="5" r:id="rId7"/>
    <sheet name="说明" sheetId="6" r:id="rId8"/>
  </sheets>
  <calcPr calcId="124519" fullCalcOnLoad="1"/>
</workbook>
</file>

<file path=xl/sharedStrings.xml><?xml version="1.0" encoding="utf-8"?>
<sst xmlns="http://schemas.openxmlformats.org/spreadsheetml/2006/main" count="124" uniqueCount="124">
  <si>
    <t/>
  </si>
  <si>
    <t>广州</t>
  </si>
  <si>
    <t>民营公司</t>
  </si>
  <si>
    <t>ETL</t>
  </si>
  <si>
    <t>电商</t>
  </si>
  <si>
    <t>LINUX</t>
  </si>
  <si>
    <r>
      <t>2026年招聘市场三岗位对比分析</t>
    </r>
  </si>
  <si>
    <r>
      <t>数据来源：recruitment_2026 数据库 data / game / operator 三表 · 统计口径详见「说明」表 · 生成日期：2026-10-26</t>
    </r>
  </si>
  <si>
    <r>
      <t>一、核心指标</t>
    </r>
  </si>
  <si>
    <r>
      <t>数据岗职位数</t>
    </r>
  </si>
  <si>
    <r>
      <t>游戏岗职位数</t>
    </r>
  </si>
  <si>
    <r>
      <t>运维岗职位数</t>
    </r>
  </si>
  <si>
    <r>
      <t>三岗职位合计</t>
    </r>
  </si>
  <si>
    <r>
      <t>二、清洗漏斗对比（各阶段记录数）</t>
    </r>
  </si>
  <si>
    <r>
      <t>阶段</t>
    </r>
  </si>
  <si>
    <r>
      <t>数据岗</t>
    </r>
  </si>
  <si>
    <r>
      <t>游戏岗</t>
    </r>
  </si>
  <si>
    <r>
      <t>运维岗</t>
    </r>
  </si>
  <si>
    <r>
      <t>数据岗保留率</t>
    </r>
  </si>
  <si>
    <r>
      <t>游戏岗保留率</t>
    </r>
  </si>
  <si>
    <r>
      <t>运维岗保留率</t>
    </r>
  </si>
  <si>
    <r>
      <t>阶段说明</t>
    </r>
  </si>
  <si>
    <r>
      <t>原始记录</t>
    </r>
  </si>
  <si>
    <r>
      <t>三表全量数据</t>
    </r>
  </si>
  <si>
    <r>
      <t>清洗空值后</t>
    </r>
  </si>
  <si>
    <r>
      <t>13 个关键字段非空</t>
    </r>
  </si>
  <si>
    <r>
      <t>去重后</t>
    </r>
  </si>
  <si>
    <r>
      <t>公司 + 职位取最新</t>
    </r>
  </si>
  <si>
    <r>
      <t>限北上广深</t>
    </r>
  </si>
  <si>
    <r>
      <t>排除其他城市</t>
    </r>
  </si>
  <si>
    <r>
      <t>岗位筛选后</t>
    </r>
  </si>
  <si>
    <r>
      <t>%数据% / %游戏% / %运维%</t>
    </r>
  </si>
  <si>
    <r>
      <t>三、三岗核心指标速览</t>
    </r>
  </si>
  <si>
    <r>
      <t>岗位</t>
    </r>
  </si>
  <si>
    <r>
      <t>职位数</t>
    </r>
  </si>
  <si>
    <r>
      <t>平均月薪（元）</t>
    </r>
  </si>
  <si>
    <r>
      <t>主力城市</t>
    </r>
  </si>
  <si>
    <r>
      <t>主导企业类型</t>
    </r>
  </si>
  <si>
    <r>
      <t>TOP技能</t>
    </r>
  </si>
  <si>
    <r>
      <t>注：平均月薪按企业类型招聘量加权计算；主力城市 / 主导企业类型 / TOP技能 由公式取各维度最大值自动得出。</t>
    </r>
  </si>
  <si>
    <r>
      <t>北上广深城市需求对比（职位数）</t>
    </r>
  </si>
  <si>
    <r>
      <t>城市</t>
    </r>
  </si>
  <si>
    <r>
      <t>数据岗占比</t>
    </r>
  </si>
  <si>
    <r>
      <t>游戏岗占比</t>
    </r>
  </si>
  <si>
    <r>
      <t>运维岗占比</t>
    </r>
  </si>
  <si>
    <r>
      <t>广州</t>
    </r>
  </si>
  <si>
    <r>
      <t>深圳</t>
    </r>
  </si>
  <si>
    <r>
      <t>上海</t>
    </r>
  </si>
  <si>
    <r>
      <t>北京</t>
    </r>
  </si>
  <si>
    <r>
      <t>合计</t>
    </r>
  </si>
  <si>
    <r>
      <t>口径：v_*_clean_workplace 视图 · 按城市汇总的最终分析集职位数；占比列为公式计算。</t>
    </r>
  </si>
  <si>
    <r>
      <t>企业类型分析（招聘量与平均月薪）</t>
    </r>
  </si>
  <si>
    <r>
      <t>企业类型</t>
    </r>
  </si>
  <si>
    <r>
      <t>数据岗招聘量</t>
    </r>
  </si>
  <si>
    <r>
      <t>游戏岗招聘量</t>
    </r>
  </si>
  <si>
    <r>
      <t>运维岗招聘量</t>
    </r>
  </si>
  <si>
    <r>
      <t>数据岗平均月薪（元）</t>
    </r>
  </si>
  <si>
    <r>
      <t>游戏岗平均月薪（元）</t>
    </r>
  </si>
  <si>
    <r>
      <t>运维岗平均月薪（元）</t>
    </r>
  </si>
  <si>
    <r>
      <t>民营公司</t>
    </r>
  </si>
  <si>
    <r>
      <t>上市公司</t>
    </r>
  </si>
  <si>
    <r>
      <t>合资</t>
    </r>
  </si>
  <si>
    <r>
      <t>外资（非欧美）</t>
    </r>
  </si>
  <si>
    <r>
      <t>国企</t>
    </r>
  </si>
  <si>
    <r>
      <t>外资（欧美）</t>
    </r>
  </si>
  <si>
    <r>
      <t>创业公司</t>
    </r>
  </si>
  <si>
    <r>
      <t>事业单位</t>
    </r>
  </si>
  <si>
    <r>
      <t>外企代表处</t>
    </r>
  </si>
  <si>
    <r>
      <t>非营利组织</t>
    </r>
  </si>
  <si>
    <r>
      <t>合计 / 整体</t>
    </r>
  </si>
  <si>
    <r>
      <t>口径：招聘量 = COUNT(*) · 平均月薪 = 该类型 avg(salary_mean) · 占比与合计均为公式计算。</t>
    </r>
  </si>
  <si>
    <r>
      <t>工作年限 - 平均月薪对比</t>
    </r>
  </si>
  <si>
    <r>
      <t>工作年限（年）</t>
    </r>
  </si>
  <si>
    <r>
      <t>数据岗样本数</t>
    </r>
  </si>
  <si>
    <r>
      <t>游戏岗样本数</t>
    </r>
  </si>
  <si>
    <r>
      <t>运维岗样本数</t>
    </r>
  </si>
  <si>
    <r>
      <t>整体平均</t>
    </r>
  </si>
  <si>
    <r>
      <t>注：样本数为该年限下纳入统计的职位数；样本 &lt; 10 时均值波动极大（如数据岗「8 年」仅 1 条），仅供参考。</t>
    </r>
  </si>
  <si>
    <r>
      <t>核心技能出现频率对比（Top 15）</t>
    </r>
  </si>
  <si>
    <r>
      <t>技能点</t>
    </r>
  </si>
  <si>
    <r>
      <t>数据岗频数</t>
    </r>
  </si>
  <si>
    <r>
      <t>游戏岗频数</t>
    </r>
  </si>
  <si>
    <r>
      <t>运维岗频数</t>
    </r>
  </si>
  <si>
    <r>
      <t>数据岗出现频率</t>
    </r>
  </si>
  <si>
    <r>
      <t>游戏岗出现频率</t>
    </r>
  </si>
  <si>
    <r>
      <t>运维岗出现频率</t>
    </r>
  </si>
  <si>
    <r>
      <t>LINUX</t>
    </r>
  </si>
  <si>
    <r>
      <t>PYTHON</t>
    </r>
  </si>
  <si>
    <r>
      <t>SHELL</t>
    </r>
  </si>
  <si>
    <r>
      <t>SQL</t>
    </r>
  </si>
  <si>
    <r>
      <t>MYSQL</t>
    </r>
  </si>
  <si>
    <r>
      <t>ETL</t>
    </r>
  </si>
  <si>
    <r>
      <t>大数据</t>
    </r>
  </si>
  <si>
    <r>
      <t>电商</t>
    </r>
  </si>
  <si>
    <r>
      <t>SPARK</t>
    </r>
  </si>
  <si>
    <r>
      <t>HIVE</t>
    </r>
  </si>
  <si>
    <r>
      <t>EXCEL</t>
    </r>
  </si>
  <si>
    <r>
      <t>BI</t>
    </r>
  </si>
  <si>
    <r>
      <t>可视化</t>
    </r>
  </si>
  <si>
    <r>
      <t>TABLEAU</t>
    </r>
  </si>
  <si>
    <r>
      <t>机器学习</t>
    </r>
  </si>
  <si>
    <r>
      <t>口径：频数 = 职位详情 LIKE 匹配数（全量技能，已剔除「报告」） · 频率 = 频数 / 该岗职位数（公式）。</t>
    </r>
  </si>
  <si>
    <r>
      <t>说明</t>
    </r>
  </si>
  <si>
    <r>
      <t>项目</t>
    </r>
  </si>
  <si>
    <r>
      <t>数据来源</t>
    </r>
  </si>
  <si>
    <r>
      <t>本地 MySQL「recruitment_2026」数据库的 data（数据岗）、game（游戏岗）、operator（运维岗）三张表，原始记录 8,000 / 5,000 / 5,000 条，职位发布日期为 2026 年。</t>
    </r>
  </si>
  <si>
    <r>
      <t>岗位筛选口径</t>
    </r>
  </si>
  <si>
    <r>
      <t>与 v_*_clean 视图一致：数据岗 job_name LIKE '%数据%'、游戏岗 LIKE '%游戏%'、运维岗 LIKE '%运维%'。</t>
    </r>
  </si>
  <si>
    <r>
      <t>城市口径</t>
    </r>
  </si>
  <si>
    <r>
      <t>仅保留北上广深（workarea_text LIKE 匹配），其他城市与「异地招聘」已在清洗流程中排除。</t>
    </r>
  </si>
  <si>
    <r>
      <t>去重口径</t>
    </r>
  </si>
  <si>
    <r>
      <t>同一「公司名 + 职位名」仅保留 issuedate 最新的一条（ROW_NUMBER 窗口函数）。</t>
    </r>
  </si>
  <si>
    <r>
      <t>薪资口径</t>
    </r>
  </si>
  <si>
    <r>
      <t>providesalary_text 解析为月薪：千/月 ×1000、万/月 ×10000、万/年 ×833（约 ÷12）；salary_mean = (salary_min + salary_max) / 2；个别「1.5千以下/月」等非区间文本无法解析，计为 NULL（占比极小）。</t>
    </r>
  </si>
  <si>
    <r>
      <t>招聘量口径</t>
    </r>
  </si>
  <si>
    <r>
      <t>本报表「招聘量 / 职位数」均按 COUNT(*) 统计；SQL 练习视图中的「招聘总数」为 SUM(degreefrom)（学历编码求和），仅排序趋势一致，绝对值不代表职位数。</t>
    </r>
  </si>
  <si>
    <r>
      <t>技能口径</t>
    </r>
  </si>
  <si>
    <r>
      <t>对 v_*_clean 全量职位详情做 LIKE 匹配 skill_table 的 63 个技能关键词；「报告」一词因高频出现于「测试报告 / 运行报告」等文本、并非真实技能，本报表已剔除。</t>
    </r>
  </si>
  <si>
    <r>
      <t>口径统一调整</t>
    </r>
  </si>
  <si>
    <r>
      <t>v_data_salary_unit 原基于 v_clean_data_distinct（7,058 行），已按用户脚本改回基于 v_data_clean（495 行），与 game / operator 薪资链口径一致，其下游 3 个视图已原样重建。</t>
    </r>
  </si>
  <si>
    <r>
      <t>样本量提示</t>
    </r>
  </si>
  <si>
    <r>
      <t>年限薪资表中样本数 &lt; 10 的格子（如数据岗「8 年」仅 1 条）波动极大，解读需谨慎。</t>
    </r>
  </si>
  <si>
    <r>
      <t>配套文件</t>
    </r>
  </si>
  <si>
    <r>
      <t>招聘项目查询.sql（data 表分析）、招聘项目查询1.sql（game）、招聘项目查询2.sql（operator）、game_operator_analysis.sql（26 个视图脚本）；本工作簿由 AI 于 2026-10-26 生成。</t>
    </r>
  </si>
</sst>
</file>

<file path=xl/styles.xml><?xml version="1.0" encoding="utf-8"?>
<styleSheet xmlns="http://schemas.openxmlformats.org/spreadsheetml/2006/main">
  <numFmts count="2">
    <numFmt numFmtId="300" formatCode="0.0%"/>
    <numFmt numFmtId="301" formatCode="General"/>
  </numFmts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5"/>
    </font>
    <font>
      <name val="微软雅黑"/>
      <color rgb="FF808080"/>
      <sz val="9"/>
    </font>
    <font>
      <name val="微软雅黑"/>
      <b val="1"/>
      <color rgb="FF2F5597"/>
      <sz val="11"/>
    </font>
    <font>
      <name val="微软雅黑"/>
      <b val="1"/>
      <color rgb="FF2F5597"/>
      <sz val="18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i val="1"/>
      <color rgb="FF808080"/>
      <sz val="8"/>
    </font>
    <font>
      <name val="微软雅黑"/>
      <b val="1"/>
      <color rgb="FF1A1A1A"/>
      <sz val="10"/>
    </font>
    <font/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/>
      <right/>
      <top/>
      <bottom/>
      <diagonal/>
    </border>
  </borders>
  <cellStyleXfs>
    <xf numFmtId="301" fontId="12" fillId="5" borderId="3" xfId="0"/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1" applyFill="1" applyBorder="1" applyAlignment="1">
      <alignment horizontal="center" vertical="center"/>
    </xf>
    <xf numFmtId="301" fontId="12" fillId="5" borderId="1" xfId="0" applyBorder="1"/>
    <xf numFmtId="301" fontId="4" fillId="3" borderId="1" xfId="0" applyFont="1" applyFill="1" applyBorder="1" applyAlignment="1">
      <alignment horizontal="center" vertical="center"/>
    </xf>
    <xf numFmtId="301" fontId="5" fillId="3" borderId="1" xfId="0" applyFont="1" applyFill="1" applyBorder="1" applyAlignment="1">
      <alignment horizontal="left" vertical="center"/>
    </xf>
    <xf numFmtId="301" fontId="4" fillId="5" borderId="2" xfId="0" applyFont="1" applyBorder="1" applyAlignment="1">
      <alignment horizontal="center" vertical="center"/>
    </xf>
    <xf numFmtId="301" fontId="12" fillId="5" borderId="2" xfId="0" applyBorder="1"/>
    <xf numFmtId="3" fontId="6" fillId="3" borderId="2" xfId="0" applyNumberFormat="1" applyFont="1" applyFill="1" applyBorder="1" applyAlignment="1">
      <alignment horizontal="center" vertical="center"/>
    </xf>
    <xf numFmtId="301" fontId="12" fillId="3" borderId="2" xfId="0" applyFill="1" applyBorder="1"/>
    <xf numFmtId="301" fontId="7" fillId="4" borderId="1" xfId="0" applyFont="1" applyFill="1" applyBorder="1" applyAlignment="1">
      <alignment horizontal="center" vertical="center"/>
    </xf>
    <xf numFmtId="301" fontId="8" fillId="5" borderId="1" xfId="0" applyFont="1" applyBorder="1" applyAlignment="1">
      <alignment horizontal="center" vertical="center"/>
    </xf>
    <xf numFmtId="3" fontId="8" fillId="5" borderId="1" xfId="0" applyNumberFormat="1" applyFont="1" applyBorder="1" applyAlignment="1">
      <alignment horizontal="right" vertical="center"/>
    </xf>
    <xf numFmtId="300" fontId="8" fillId="5" borderId="1" xfId="0" applyNumberFormat="1" applyFont="1" applyBorder="1" applyAlignment="1">
      <alignment horizontal="right" vertical="center"/>
    </xf>
    <xf numFmtId="301" fontId="9" fillId="5" borderId="1" xfId="0" applyFont="1" applyBorder="1" applyAlignment="1">
      <alignment horizontal="center" vertical="center"/>
    </xf>
    <xf numFmtId="301" fontId="10" fillId="3" borderId="1" xfId="0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right" vertical="center"/>
    </xf>
    <xf numFmtId="300" fontId="10" fillId="3" borderId="1" xfId="0" applyNumberFormat="1" applyFont="1" applyFill="1" applyBorder="1" applyAlignment="1">
      <alignment horizontal="right" vertical="center"/>
    </xf>
    <xf numFmtId="301" fontId="9" fillId="3" borderId="1" xfId="0" applyFont="1" applyFill="1" applyBorder="1" applyAlignment="1">
      <alignment horizontal="center" vertical="center"/>
    </xf>
    <xf numFmtId="301" fontId="10" fillId="5" borderId="1" xfId="0" applyFont="1" applyBorder="1" applyAlignment="1">
      <alignment horizontal="center" vertical="center"/>
    </xf>
    <xf numFmtId="301" fontId="9" fillId="5" borderId="3" xfId="0" applyFont="1" applyAlignment="1">
      <alignment horizontal="left" vertical="center"/>
    </xf>
    <xf numFmtId="10" fontId="8" fillId="5" borderId="1" xfId="0" applyNumberFormat="1" applyFont="1" applyBorder="1" applyAlignment="1">
      <alignment horizontal="right" vertical="center"/>
    </xf>
    <xf numFmtId="10" fontId="10" fillId="3" borderId="1" xfId="0" applyNumberFormat="1" applyFont="1" applyFill="1" applyBorder="1" applyAlignment="1">
      <alignment horizontal="right" vertical="center"/>
    </xf>
    <xf numFmtId="1" fontId="8" fillId="5" borderId="1" xfId="0" applyNumberFormat="1" applyFont="1" applyBorder="1" applyAlignment="1">
      <alignment horizontal="center" vertical="center"/>
    </xf>
    <xf numFmtId="301" fontId="10" fillId="5" borderId="1" xfId="0" applyFont="1" applyBorder="1" applyAlignment="1">
      <alignment horizontal="left" vertical="top"/>
    </xf>
    <xf numFmtId="301" fontId="8" fillId="5" borderId="1" xfId="0" applyFont="1" applyBorder="1" applyAlignment="1">
      <alignment horizontal="left" vertical="center" wrapText="1"/>
    </xf>
    <xf fontId="11" fillId="0" borderId="0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三岗平均月薪对比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'总览看板'!$C$17</c:f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cat>
            <c:numRef>
              <c:f>'总览看板'!$A$18:$A$20</c:f>
            </c:numRef>
          </c:cat>
          <c:val>
            <c:numRef>
              <c:f>'总览看板'!$C$18:$C$20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平均月薪（元）</a:t>
                </a:r>
              </a:p>
            </c:rich>
          </c:tx>
        </c:title>
        <c:majorTickMark val="none"/>
        <c:minorTickMark val="none"/>
        <c:crossAx val="10"/>
      </c:valAx>
    </c:plotArea>
    <c:plotVisOnly val="1"/>
    <c:dispBlanksAs val="gap"/>
  </c:chart>
</c:chartSpace>
</file>

<file path=xl/charts/chart2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北上广深职位数对比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'城市需求对比'!$B$2</c:f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cat>
            <c:numRef>
              <c:f>'城市需求对比'!$A$3:$A$6</c:f>
            </c:numRef>
          </c:cat>
          <c:val>
            <c:numRef>
              <c:f>'城市需求对比'!$B$3:$B$6</c:f>
            </c:numRef>
          </c:val>
        </c:ser>
        <c:ser>
          <c:idx val="1"/>
          <c:order val="1"/>
          <c:tx>
            <c:strRef>
              <c:f>'城市需求对比'!$D$2</c:f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cat>
            <c:numRef>
              <c:f>'城市需求对比'!$A$3:$A$6</c:f>
            </c:numRef>
          </c:cat>
          <c:val>
            <c:numRef>
              <c:f>'城市需求对比'!$D$3:$D$6</c:f>
            </c:numRef>
          </c:val>
        </c:ser>
        <c:ser>
          <c:idx val="2"/>
          <c:order val="2"/>
          <c:tx>
            <c:strRef>
              <c:f>'城市需求对比'!$F$2</c:f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cat>
            <c:numRef>
              <c:f>'城市需求对比'!$A$3:$A$6</c:f>
            </c:numRef>
          </c:cat>
          <c:val>
            <c:numRef>
              <c:f>'城市需求对比'!$F$3:$F$6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title>
          <c:tx>
            <c:rich>
              <a:bodyPr/>
              <a:p>
                <a:pPr>
                  <a:defRPr/>
                </a:pPr>
                <a:r>
                  <a:t>城市</a:t>
                </a:r>
              </a:p>
            </c:rich>
          </c:tx>
        </c:title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职位数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b"/>
    </c:legend>
    <c:plotVisOnly val="1"/>
    <c:dispBlanksAs val="gap"/>
  </c:chart>
</c:chartSpace>
</file>

<file path=xl/charts/chart3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各企业类型平均月薪对比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'企业类型分析'!$H$2</c:f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cat>
            <c:numRef>
              <c:f>'企业类型分析'!$A$3:$A$12</c:f>
            </c:numRef>
          </c:cat>
          <c:val>
            <c:numRef>
              <c:f>'企业类型分析'!$H$3:$H$12</c:f>
            </c:numRef>
          </c:val>
        </c:ser>
        <c:ser>
          <c:idx val="1"/>
          <c:order val="1"/>
          <c:tx>
            <c:strRef>
              <c:f>'企业类型分析'!$I$2</c:f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cat>
            <c:numRef>
              <c:f>'企业类型分析'!$A$3:$A$12</c:f>
            </c:numRef>
          </c:cat>
          <c:val>
            <c:numRef>
              <c:f>'企业类型分析'!$I$3:$I$12</c:f>
            </c:numRef>
          </c:val>
        </c:ser>
        <c:ser>
          <c:idx val="2"/>
          <c:order val="2"/>
          <c:tx>
            <c:strRef>
              <c:f>'企业类型分析'!$J$2</c:f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cat>
            <c:numRef>
              <c:f>'企业类型分析'!$A$3:$A$12</c:f>
            </c:numRef>
          </c:cat>
          <c:val>
            <c:numRef>
              <c:f>'企业类型分析'!$J$3:$J$12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平均月薪（元）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b"/>
    </c:legend>
    <c:plotVisOnly val="1"/>
    <c:dispBlanksAs val="gap"/>
  </c:chart>
</c:chartSpace>
</file>

<file path=xl/charts/chart4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工作年限 - 平均月薪走势</a:t>
            </a:r>
          </a:p>
        </c:rich>
      </c:tx>
    </c:title>
    <c:plotArea>
      <c:lineChart>
        <c:grouping val="standard"/>
        <c:ser>
          <c:idx val="0"/>
          <c:order val="0"/>
          <c:tx>
            <c:strRef>
              <c:f>'年限薪资对比'!$B$2</c:f>
            </c:strRef>
          </c:tx>
          <c:spPr>
            <a:ln w="22000">
              <a:solidFill>
                <a:srgbClr val="4472C4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'年限薪资对比'!$A$3:$A$10</c:f>
            </c:numRef>
          </c:cat>
          <c:val>
            <c:numRef>
              <c:f>'年限薪资对比'!$B$3:$B$10</c:f>
            </c:numRef>
          </c:val>
          <c:smooth val="0"/>
        </c:ser>
        <c:ser>
          <c:idx val="1"/>
          <c:order val="1"/>
          <c:tx>
            <c:strRef>
              <c:f>'年限薪资对比'!$C$2</c:f>
            </c:strRef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'年限薪资对比'!$A$3:$A$10</c:f>
            </c:numRef>
          </c:cat>
          <c:val>
            <c:numRef>
              <c:f>'年限薪资对比'!$C$3:$C$10</c:f>
            </c:numRef>
          </c:val>
          <c:smooth val="0"/>
        </c:ser>
        <c:ser>
          <c:idx val="2"/>
          <c:order val="2"/>
          <c:tx>
            <c:strRef>
              <c:f>'年限薪资对比'!$D$2</c:f>
            </c:strRef>
          </c:tx>
          <c:spPr>
            <a:ln w="22000">
              <a:solidFill>
                <a:srgbClr val="70AD4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'年限薪资对比'!$A$3:$A$10</c:f>
            </c:numRef>
          </c:cat>
          <c:val>
            <c:numRef>
              <c:f>'年限薪资对比'!$D$3:$D$10</c:f>
            </c:numRef>
          </c:val>
          <c:smooth val="0"/>
        </c:ser>
        <c:axId val="10"/>
        <c:axId val="100"/>
      </c:lineChart>
      <c:catAx>
        <c:axId val="10"/>
        <c:scaling>
          <c:orientation val="minMax"/>
        </c:scaling>
        <c:axPos val="l"/>
        <c:title>
          <c:tx>
            <c:rich>
              <a:bodyPr/>
              <a:p>
                <a:pPr>
                  <a:defRPr/>
                </a:pPr>
                <a:r>
                  <a:t>工作年限（年）</a:t>
                </a:r>
              </a:p>
            </c:rich>
          </c:tx>
        </c:title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平均月薪（元）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b"/>
    </c:legend>
    <c:plotVisOnly val="1"/>
    <c:dispBlanksAs val="gap"/>
  </c:chart>
</c:chartSpace>
</file>

<file path=xl/charts/chart5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核心技能出现频率对比</a:t>
            </a:r>
          </a:p>
        </c:rich>
      </c:tx>
    </c:title>
    <c:plotArea>
      <c:barChart>
        <c:barDir val="bar"/>
        <c:grouping val="clustered"/>
        <c:ser>
          <c:idx val="0"/>
          <c:order val="0"/>
          <c:tx>
            <c:strRef>
              <c:f>'核心技能对比'!$E$2</c:f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cat>
            <c:numRef>
              <c:f>'核心技能对比'!$A$3:$A$17</c:f>
            </c:numRef>
          </c:cat>
          <c:val>
            <c:numRef>
              <c:f>'核心技能对比'!$E$3:$E$17</c:f>
            </c:numRef>
          </c:val>
        </c:ser>
        <c:ser>
          <c:idx val="1"/>
          <c:order val="1"/>
          <c:tx>
            <c:strRef>
              <c:f>'核心技能对比'!$F$2</c:f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cat>
            <c:numRef>
              <c:f>'核心技能对比'!$A$3:$A$17</c:f>
            </c:numRef>
          </c:cat>
          <c:val>
            <c:numRef>
              <c:f>'核心技能对比'!$F$3:$F$17</c:f>
            </c:numRef>
          </c:val>
        </c:ser>
        <c:ser>
          <c:idx val="2"/>
          <c:order val="2"/>
          <c:tx>
            <c:strRef>
              <c:f>'核心技能对比'!$G$2</c:f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cat>
            <c:numRef>
              <c:f>'核心技能对比'!$A$3:$A$17</c:f>
            </c:numRef>
          </c:cat>
          <c:val>
            <c:numRef>
              <c:f>'核心技能对比'!$G$3:$G$17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b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0" Type="http://schemas.openxmlformats.org/officeDocument/2006/relationships/chart" Target="../charts/chart5.xml" /></Relationships>
</file>

<file path=xl/drawings/drawing1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oneCellAnchor>
    <xdr:from>
      <xdr:col>0</xdr:col>
      <xdr:colOff>419100</xdr:colOff>
      <xdr:row>26</xdr:row>
      <xdr:rowOff>76200</xdr:rowOff>
    </xdr:from>
    <xdr:ext cx="5040000" cy="270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oneCellAnchor>
    <xdr:from>
      <xdr:col>0</xdr:col>
      <xdr:colOff>0</xdr:colOff>
      <xdr:row>8</xdr:row>
      <xdr:rowOff>0</xdr:rowOff>
    </xdr:from>
    <xdr:ext cx="5760000" cy="3060000"/>
    <xdr:graphicFrame>
      <xdr:nvGraphicFramePr>
        <xdr:cNvPr id="2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oneCellAnchor>
    <xdr:from>
      <xdr:col>0</xdr:col>
      <xdr:colOff>0</xdr:colOff>
      <xdr:row>14</xdr:row>
      <xdr:rowOff>0</xdr:rowOff>
    </xdr:from>
    <xdr:ext cx="7200000" cy="3240000"/>
    <xdr:graphicFrame>
      <xdr:nvGraphicFramePr>
        <xdr:cNvPr id="3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oneCellAnchor>
    <xdr:from>
      <xdr:col>0</xdr:col>
      <xdr:colOff>0</xdr:colOff>
      <xdr:row>13</xdr:row>
      <xdr:rowOff>0</xdr:rowOff>
    </xdr:from>
    <xdr:ext cx="5760000" cy="3060000"/>
    <xdr:graphicFrame>
      <xdr:nvGraphicFramePr>
        <xdr:cNvPr id="4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oneCellAnchor>
    <xdr:from>
      <xdr:col>0</xdr:col>
      <xdr:colOff>0</xdr:colOff>
      <xdr:row>18</xdr:row>
      <xdr:rowOff>0</xdr:rowOff>
    </xdr:from>
    <xdr:ext cx="6480000" cy="5040000"/>
    <xdr:graphicFrame>
      <xdr:nvGraphicFramePr>
        <xdr:cNvPr id="5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5597"/>
    <outlinePr summaryBelow="1" summaryRight="1"/>
    <pageSetUpPr/>
  </sheetPr>
  <dimension ref="H21"/>
  <sheetViews>
    <sheetView showGridLines="1" workbookViewId="0"/>
  </sheetViews>
  <sheetFormatPr baseColWidth="8" defaultRowHeight="15"/>
  <cols>
    <col min="1" max="1" width="16" customWidth="1"/>
    <col min="2" max="2" width="13" customWidth="1"/>
    <col min="3" max="3" width="15" customWidth="1"/>
    <col min="4" max="4" width="12" customWidth="1"/>
    <col min="5" max="5" width="14" customWidth="1"/>
    <col min="6" max="6" width="12" customWidth="1"/>
    <col min="7" max="7" width="13" customWidth="1"/>
    <col min="8" max="8" width="20" customWidth="1"/>
  </cols>
  <sheetData>
    <row r="1" spans="1:8" ht="30" customHeight="1">
      <c r="A1" s="4" t="s">
        <v>6</v>
      </c>
      <c r="B1" s="5" t="s"/>
      <c r="C1" s="5" t="s"/>
      <c r="D1" s="5" t="s"/>
      <c r="E1" s="5" t="s"/>
      <c r="F1" s="5" t="s"/>
      <c r="G1" s="5" t="s"/>
      <c r="H1" s="5" t="s"/>
    </row>
    <row r="2" spans="1:8" ht="18" customHeight="1">
      <c r="A2" s="6" t="s">
        <v>7</v>
      </c>
      <c r="B2" s="5" t="s"/>
      <c r="C2" s="5" t="s"/>
      <c r="D2" s="5" t="s"/>
      <c r="E2" s="5" t="s"/>
      <c r="F2" s="5" t="s"/>
      <c r="G2" s="5" t="s"/>
      <c r="H2" s="5" t="s"/>
    </row>
    <row r="4" spans="1:8" ht="20" customHeight="1">
      <c r="A4" s="7" t="s">
        <v>8</v>
      </c>
      <c r="B4" s="5" t="s"/>
      <c r="C4" s="5" t="s"/>
      <c r="D4" s="5" t="s"/>
      <c r="E4" s="5" t="s"/>
      <c r="F4" s="5" t="s"/>
      <c r="G4" s="5" t="s"/>
      <c r="H4" s="5" t="s"/>
    </row>
    <row r="5" spans="1:8" ht="16" customHeight="1">
      <c r="A5" s="8" t="s">
        <v>9</v>
      </c>
      <c r="B5" s="9" t="s"/>
      <c r="C5" s="8" t="s">
        <v>10</v>
      </c>
      <c r="D5" s="9" t="s"/>
      <c r="E5" s="8" t="s">
        <v>11</v>
      </c>
      <c r="F5" s="9" t="s"/>
      <c r="G5" s="8" t="s">
        <v>12</v>
      </c>
      <c r="H5" s="9" t="s"/>
    </row>
    <row r="6" spans="1:8" ht="32" customHeight="1">
      <c r="A6" s="10">
        <f>=SUM(城市需求对比!B3:B6)</f>
        <v>495</v>
      </c>
      <c r="B6" s="11" t="s"/>
      <c r="C6" s="10">
        <f>=SUM(城市需求对比!D3:D6)</f>
        <v>1116</v>
      </c>
      <c r="D6" s="11" t="s"/>
      <c r="E6" s="10">
        <f>=SUM(城市需求对比!F3:F6)</f>
        <v>1195</v>
      </c>
      <c r="F6" s="11" t="s"/>
      <c r="G6" s="10">
        <f>=A6+C6+E6</f>
        <v>2806</v>
      </c>
      <c r="H6" s="11" t="s"/>
    </row>
    <row r="8" spans="1:8" ht="20" customHeight="1">
      <c r="A8" s="7" t="s">
        <v>13</v>
      </c>
      <c r="B8" s="5" t="s"/>
      <c r="C8" s="5" t="s"/>
      <c r="D8" s="5" t="s"/>
      <c r="E8" s="5" t="s"/>
      <c r="F8" s="5" t="s"/>
      <c r="G8" s="5" t="s"/>
      <c r="H8" s="5" t="s"/>
    </row>
    <row r="9" spans="1:8" ht="20" customHeight="1">
      <c r="A9" s="12" t="s">
        <v>14</v>
      </c>
      <c r="B9" s="12" t="s">
        <v>15</v>
      </c>
      <c r="C9" s="12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</row>
    <row r="10" spans="1:8">
      <c r="A10" s="13" t="s">
        <v>22</v>
      </c>
      <c r="B10" s="14">
        <v>8000</v>
      </c>
      <c r="C10" s="14">
        <v>5000</v>
      </c>
      <c r="D10" s="14">
        <v>5000</v>
      </c>
      <c r="E10" s="15">
        <f>=IF(OR(B$10="",B$10=0),"",B10/B$10)</f>
        <v>1</v>
      </c>
      <c r="F10" s="15">
        <f>=IF(OR(C$10="",C$10=0),"",C10/C$10)</f>
        <v>1</v>
      </c>
      <c r="G10" s="15">
        <f>=IF(OR(D$10="",D$10=0),"",D10/D$10)</f>
        <v>1</v>
      </c>
      <c r="H10" s="16" t="s">
        <v>23</v>
      </c>
    </row>
    <row r="11" spans="1:8">
      <c r="A11" s="13" t="s">
        <v>24</v>
      </c>
      <c r="B11" s="14">
        <v>7081</v>
      </c>
      <c r="C11" s="14">
        <v>4425</v>
      </c>
      <c r="D11" s="14">
        <v>4432</v>
      </c>
      <c r="E11" s="15">
        <f>=IF(OR(B$10="",B$10=0),"",B11/B$10)</f>
        <v>0.885125</v>
      </c>
      <c r="F11" s="15">
        <f>=IF(OR(C$10="",C$10=0),"",C11/C$10)</f>
        <v>0.885</v>
      </c>
      <c r="G11" s="15">
        <f>=IF(OR(D$10="",D$10=0),"",D11/D$10)</f>
        <v>0.8864</v>
      </c>
      <c r="H11" s="16" t="s">
        <v>25</v>
      </c>
    </row>
    <row r="12" spans="1:8">
      <c r="A12" s="13" t="s">
        <v>26</v>
      </c>
      <c r="B12" s="14">
        <v>7058</v>
      </c>
      <c r="C12" s="14">
        <v>4425</v>
      </c>
      <c r="D12" s="14">
        <v>4400</v>
      </c>
      <c r="E12" s="15">
        <f>=IF(OR(B$10="",B$10=0),"",B12/B$10)</f>
        <v>0.88225</v>
      </c>
      <c r="F12" s="15">
        <f>=IF(OR(C$10="",C$10=0),"",C12/C$10)</f>
        <v>0.885</v>
      </c>
      <c r="G12" s="15">
        <f>=IF(OR(D$10="",D$10=0),"",D12/D$10)</f>
        <v>0.88</v>
      </c>
      <c r="H12" s="16" t="s">
        <v>27</v>
      </c>
    </row>
    <row r="13" spans="1:8">
      <c r="A13" s="13" t="s">
        <v>28</v>
      </c>
      <c r="B13" s="14">
        <v>6813</v>
      </c>
      <c r="C13" s="14">
        <v>4279</v>
      </c>
      <c r="D13" s="14">
        <v>4252</v>
      </c>
      <c r="E13" s="15">
        <f>=IF(OR(B$10="",B$10=0),"",B13/B$10)</f>
        <v>0.851625</v>
      </c>
      <c r="F13" s="15">
        <f>=IF(OR(C$10="",C$10=0),"",C13/C$10)</f>
        <v>0.8558</v>
      </c>
      <c r="G13" s="15">
        <f>=IF(OR(D$10="",D$10=0),"",D13/D$10)</f>
        <v>0.8504</v>
      </c>
      <c r="H13" s="16" t="s">
        <v>29</v>
      </c>
    </row>
    <row r="14" spans="1:8">
      <c r="A14" s="17" t="s">
        <v>30</v>
      </c>
      <c r="B14" s="18">
        <v>495</v>
      </c>
      <c r="C14" s="18">
        <v>1116</v>
      </c>
      <c r="D14" s="18">
        <v>1195</v>
      </c>
      <c r="E14" s="19">
        <f>=IF(OR(B$10="",B$10=0),"",B14/B$10)</f>
        <v>0.061875</v>
      </c>
      <c r="F14" s="19">
        <f>=IF(OR(C$10="",C$10=0),"",C14/C$10)</f>
        <v>0.2232</v>
      </c>
      <c r="G14" s="19">
        <f>=IF(OR(D$10="",D$10=0),"",D14/D$10)</f>
        <v>0.239</v>
      </c>
      <c r="H14" s="20" t="s">
        <v>31</v>
      </c>
    </row>
    <row r="16" spans="1:8" ht="20" customHeight="1">
      <c r="A16" s="7" t="s">
        <v>32</v>
      </c>
      <c r="B16" s="5" t="s"/>
      <c r="C16" s="5" t="s"/>
      <c r="D16" s="5" t="s"/>
      <c r="E16" s="5" t="s"/>
      <c r="F16" s="5" t="s"/>
      <c r="G16" s="5" t="s"/>
      <c r="H16" s="5" t="s"/>
    </row>
    <row r="17" spans="1:6" ht="20" customHeight="1">
      <c r="A17" s="12" t="s">
        <v>33</v>
      </c>
      <c r="B17" s="12" t="s">
        <v>34</v>
      </c>
      <c r="C17" s="12" t="s">
        <v>35</v>
      </c>
      <c r="D17" s="12" t="s">
        <v>36</v>
      </c>
      <c r="E17" s="12" t="s">
        <v>37</v>
      </c>
      <c r="F17" s="12" t="s">
        <v>38</v>
      </c>
    </row>
    <row r="18" spans="1:6">
      <c r="A18" s="21" t="s">
        <v>15</v>
      </c>
      <c r="B18" s="14">
        <f>=SUM(城市需求对比!B3:B6)</f>
        <v>495</v>
      </c>
      <c r="C18" s="14">
        <f t="array" ref="C18">=IF(OR(SUM(企业类型分析!B$3:B$12)=0,COUNT(企业类型分析!B$3:B$12)=0),"",ROUND(SUMPRODUCT(企业类型分析!B$3:B$12,企业类型分析!H$3:H$12)/SUM(企业类型分析!B$3:B$12),0))</f>
        <v>11566</v>
      </c>
      <c r="D18" s="13" t="str">
        <f t="array" ref="D18">=INDEX(城市需求对比!$A$3:$A$6,MATCH(MAX(城市需求对比!B$3:B$6),城市需求对比!B$3:B$6,0))</f>
        <v>广州</v>
      </c>
      <c r="E18" s="13" t="str">
        <f t="array" ref="E18">=INDEX(企业类型分析!$A$3:$A$12,MATCH(MAX(企业类型分析!B$3:B$12),企业类型分析!B$3:B$12,0))</f>
        <v>民营公司</v>
      </c>
      <c r="F18" s="13" t="str">
        <f t="array" ref="F18">=INDEX(核心技能对比!$A$3:$A$17,MATCH(MAX(核心技能对比!B$3:B$17),核心技能对比!B$3:B$17,0))</f>
        <v>ETL</v>
      </c>
    </row>
    <row r="19" spans="1:6">
      <c r="A19" s="21" t="s">
        <v>16</v>
      </c>
      <c r="B19" s="14">
        <f>=SUM(城市需求对比!D3:D6)</f>
        <v>1116</v>
      </c>
      <c r="C19" s="14">
        <f t="array" ref="C19">=IF(OR(SUM(企业类型分析!D$3:D$12)=0,COUNT(企业类型分析!D$3:D$12)=0),"",ROUND(SUMPRODUCT(企业类型分析!D$3:D$12,企业类型分析!I$3:I$12)/SUM(企业类型分析!D$3:D$12),0))</f>
        <v>11312</v>
      </c>
      <c r="D19" s="13" t="str">
        <f t="array" ref="D19">=INDEX(城市需求对比!$A$3:$A$6,MATCH(MAX(城市需求对比!D$3:D$6),城市需求对比!D$3:D$6,0))</f>
        <v>广州</v>
      </c>
      <c r="E19" s="13" t="str">
        <f t="array" ref="E19">=INDEX(企业类型分析!$A$3:$A$12,MATCH(MAX(企业类型分析!D$3:D$12),企业类型分析!D$3:D$12,0))</f>
        <v>民营公司</v>
      </c>
      <c r="F19" s="13" t="str">
        <f t="array" ref="F19">=INDEX(核心技能对比!$A$3:$A$17,MATCH(MAX(核心技能对比!C$3:C$17),核心技能对比!C$3:C$17,0))</f>
        <v>电商</v>
      </c>
    </row>
    <row r="20" spans="1:6">
      <c r="A20" s="21" t="s">
        <v>17</v>
      </c>
      <c r="B20" s="14">
        <f>=SUM(城市需求对比!F3:F6)</f>
        <v>1195</v>
      </c>
      <c r="C20" s="14">
        <f t="array" ref="C20">=IF(OR(SUM(企业类型分析!F$3:F$12)=0,COUNT(企业类型分析!F$3:F$12)=0),"",ROUND(SUMPRODUCT(企业类型分析!F$3:F$12,企业类型分析!J$3:J$12)/SUM(企业类型分析!F$3:F$12),0))</f>
        <v>11489</v>
      </c>
      <c r="D20" s="13" t="str">
        <f t="array" ref="D20">=INDEX(城市需求对比!$A$3:$A$6,MATCH(MAX(城市需求对比!F$3:F$6),城市需求对比!F$3:F$6,0))</f>
        <v>广州</v>
      </c>
      <c r="E20" s="13" t="str">
        <f t="array" ref="E20">=INDEX(企业类型分析!$A$3:$A$12,MATCH(MAX(企业类型分析!F$3:F$12),企业类型分析!F$3:F$12,0))</f>
        <v>民营公司</v>
      </c>
      <c r="F20" s="13" t="str">
        <f t="array" ref="F20">=INDEX(核心技能对比!$A$3:$A$17,MATCH(MAX(核心技能对比!D$3:D$17),核心技能对比!D$3:D$17,0))</f>
        <v>LINUX</v>
      </c>
    </row>
    <row r="21" spans="1:1">
      <c r="A21" s="22" t="s">
        <v>39</v>
      </c>
    </row>
  </sheetData>
  <mergeCells count="14">
    <mergeCell ref="A4:H4"/>
    <mergeCell ref="E6:F6"/>
    <mergeCell ref="C6:D6"/>
    <mergeCell ref="A21:H21"/>
    <mergeCell ref="A2:H2"/>
    <mergeCell ref="A16:H16"/>
    <mergeCell ref="C5:D5"/>
    <mergeCell ref="A5:B5"/>
    <mergeCell ref="G5:H5"/>
    <mergeCell ref="E5:F5"/>
    <mergeCell ref="G6:H6"/>
    <mergeCell ref="A1:H1"/>
    <mergeCell ref="A8:H8"/>
    <mergeCell ref="A6:B6"/>
  </mergeCells>
  <pageMargins left="0.75" right="0.75" top="1" bottom="1" header="0.5" footer="0.5"/>
  <drawing r:id="rId0"/>
</worksheet>
</file>

<file path=xl/worksheets/sheet2.xml><?xml version="1.0" encoding="utf-8"?>
<worksheet xmlns="http://schemas.openxmlformats.org/spreadsheetml/2006/main" xmlns:r="http://schemas.openxmlformats.org/officeDocument/2006/relationships" xmlns:xm="http://schemas.microsoft.com/office/excel/2006/main" xmlns:x14="http://schemas.microsoft.com/office/spreadsheetml/2009/9/main">
  <sheetPr>
    <tabColor rgb="FF4472C4"/>
    <outlinePr summaryBelow="1" summaryRight="1"/>
    <pageSetUpPr/>
  </sheetPr>
  <dimension ref="G8"/>
  <sheetViews>
    <sheetView showGridLines="1" workbookViewId="0"/>
  </sheetViews>
  <sheetFormatPr baseColWidth="8" defaultRowHeight="15"/>
  <cols>
    <col min="1" max="1" width="10" customWidth="1"/>
    <col min="2" max="2" width="13" customWidth="1"/>
    <col min="3" max="3" width="11" customWidth="1"/>
    <col min="4" max="4" width="13" customWidth="1"/>
    <col min="5" max="5" width="11" customWidth="1"/>
    <col min="6" max="6" width="13" customWidth="1"/>
    <col min="7" max="7" width="11" customWidth="1"/>
  </cols>
  <sheetData>
    <row r="1" spans="1:7" ht="30" customHeight="1">
      <c r="A1" s="4" t="s">
        <v>40</v>
      </c>
      <c r="B1" s="5" t="s"/>
      <c r="C1" s="5" t="s"/>
      <c r="D1" s="5" t="s"/>
      <c r="E1" s="5" t="s"/>
      <c r="F1" s="5" t="s"/>
      <c r="G1" s="5" t="s"/>
    </row>
    <row r="2" spans="1:7" ht="20" customHeight="1">
      <c r="A2" s="12" t="s">
        <v>41</v>
      </c>
      <c r="B2" s="12" t="s">
        <v>9</v>
      </c>
      <c r="C2" s="12" t="s">
        <v>42</v>
      </c>
      <c r="D2" s="12" t="s">
        <v>10</v>
      </c>
      <c r="E2" s="12" t="s">
        <v>43</v>
      </c>
      <c r="F2" s="12" t="s">
        <v>11</v>
      </c>
      <c r="G2" s="12" t="s">
        <v>44</v>
      </c>
    </row>
    <row r="3" spans="1:7">
      <c r="A3" s="13" t="s">
        <v>45</v>
      </c>
      <c r="B3" s="14">
        <v>176</v>
      </c>
      <c r="C3" s="23">
        <f>=IF(OR(B$7="",B$7=0),"",B3/B$7)</f>
        <v>0.355555555555556</v>
      </c>
      <c r="D3" s="14">
        <v>336</v>
      </c>
      <c r="E3" s="23">
        <f>=IF(OR(D$7="",D$7=0),"",D3/D$7)</f>
        <v>0.301075268817204</v>
      </c>
      <c r="F3" s="14">
        <v>397</v>
      </c>
      <c r="G3" s="23">
        <f>=IF(OR(F$7="",F$7=0),"",F3/F$7)</f>
        <v>0.332217573221757</v>
      </c>
    </row>
    <row r="4" spans="1:7">
      <c r="A4" s="13" t="s">
        <v>46</v>
      </c>
      <c r="B4" s="14">
        <v>135</v>
      </c>
      <c r="C4" s="23">
        <f>=IF(OR(B$7="",B$7=0),"",B4/B$7)</f>
        <v>0.272727272727273</v>
      </c>
      <c r="D4" s="14">
        <v>318</v>
      </c>
      <c r="E4" s="23">
        <f>=IF(OR(D$7="",D$7=0),"",D4/D$7)</f>
        <v>0.28494623655914</v>
      </c>
      <c r="F4" s="14">
        <v>356</v>
      </c>
      <c r="G4" s="23">
        <f>=IF(OR(F$7="",F$7=0),"",F4/F$7)</f>
        <v>0.297907949790795</v>
      </c>
    </row>
    <row r="5" spans="1:7">
      <c r="A5" s="13" t="s">
        <v>47</v>
      </c>
      <c r="B5" s="14">
        <v>117</v>
      </c>
      <c r="C5" s="23">
        <f>=IF(OR(B$7="",B$7=0),"",B5/B$7)</f>
        <v>0.236363636363636</v>
      </c>
      <c r="D5" s="14">
        <v>321</v>
      </c>
      <c r="E5" s="23">
        <f>=IF(OR(D$7="",D$7=0),"",D5/D$7)</f>
        <v>0.287634408602151</v>
      </c>
      <c r="F5" s="14">
        <v>296</v>
      </c>
      <c r="G5" s="23">
        <f>=IF(OR(F$7="",F$7=0),"",F5/F$7)</f>
        <v>0.247698744769875</v>
      </c>
    </row>
    <row r="6" spans="1:7">
      <c r="A6" s="13" t="s">
        <v>48</v>
      </c>
      <c r="B6" s="14">
        <v>67</v>
      </c>
      <c r="C6" s="23">
        <f>=IF(OR(B$7="",B$7=0),"",B6/B$7)</f>
        <v>0.135353535353535</v>
      </c>
      <c r="D6" s="14">
        <v>141</v>
      </c>
      <c r="E6" s="23">
        <f>=IF(OR(D$7="",D$7=0),"",D6/D$7)</f>
        <v>0.126344086021505</v>
      </c>
      <c r="F6" s="14">
        <v>146</v>
      </c>
      <c r="G6" s="23">
        <f>=IF(OR(F$7="",F$7=0),"",F6/F$7)</f>
        <v>0.122175732217573</v>
      </c>
    </row>
    <row r="7" spans="1:7">
      <c r="A7" s="17" t="s">
        <v>49</v>
      </c>
      <c r="B7" s="18">
        <f>=SUM(B3:B6)</f>
        <v>495</v>
      </c>
      <c r="C7" s="24">
        <f>=IF(OR(B7="",B7=0),"",B7/B7)</f>
        <v>1</v>
      </c>
      <c r="D7" s="18">
        <f>=SUM(D3:D6)</f>
        <v>1116</v>
      </c>
      <c r="E7" s="24">
        <f>=IF(OR(D7="",D7=0),"",D7/D7)</f>
        <v>1</v>
      </c>
      <c r="F7" s="18">
        <f>=SUM(F3:F6)</f>
        <v>1195</v>
      </c>
      <c r="G7" s="24">
        <f>=IF(OR(F7="",F7=0),"",F7/F7)</f>
        <v>1</v>
      </c>
    </row>
    <row r="8" spans="1:1" ht="15" customHeight="1">
      <c r="A8" s="22" t="s">
        <v>50</v>
      </c>
    </row>
  </sheetData>
  <mergeCells count="2">
    <mergeCell ref="A8:G8"/>
    <mergeCell ref="A1:G1"/>
  </mergeCells>
  <conditionalFormatting sqref="B3:B6">
    <cfRule type="dataBar" priority="1">
      <dataBar showValue="1">
        <cfvo type="num" val="0"/>
        <cfvo type="max"/>
        <color rgb="FF4472C4"/>
      </dataBar>
      <extLst>
        <ext uri="{B025F937-C7B1-47D3-B67F-A62EFF666E3E}">
          <x14:id>{42D7466A-9C6F-4A90-BEE6-CC871B54BF1A}</x14:id>
        </ext>
      </extLst>
    </cfRule>
  </conditionalFormatting>
  <conditionalFormatting sqref="D3:D6">
    <cfRule type="dataBar" priority="2">
      <dataBar showValue="1">
        <cfvo type="num" val="0"/>
        <cfvo type="max"/>
        <color rgb="FF4472C4"/>
      </dataBar>
      <extLst>
        <ext uri="{B025F937-C7B1-47D3-B67F-A62EFF666E3E}">
          <x14:id>{6DDE0335-6D06-4349-A5A6-B38E50B222EF}</x14:id>
        </ext>
      </extLst>
    </cfRule>
  </conditionalFormatting>
  <conditionalFormatting sqref="F3:F6">
    <cfRule type="dataBar" priority="3">
      <dataBar showValue="1">
        <cfvo type="num" val="0"/>
        <cfvo type="max"/>
        <color rgb="FF4472C4"/>
      </dataBar>
      <extLst>
        <ext uri="{B025F937-C7B1-47D3-B67F-A62EFF666E3E}">
          <x14:id>{CD6EF010-1A9A-4075-8926-4B69F981CEE0}</x14:id>
        </ext>
      </extLst>
    </cfRule>
  </conditionalFormatting>
  <pageMargins left="0.75" right="0.75" top="1" bottom="1" header="0.5" footer="0.5"/>
  <drawing r:id="rId0"/>
  <extLst>
    <ext uri="{78C0D931-6437-407d-A8EE-F0AAD7539E65}">
      <x14:conditionalFormattings>
        <x14:conditionalFormatting>
          <x14:cfRule type="dataBar" id="{42D7466A-9C6F-4A90-BEE6-CC871B54BF1A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B3:B6</xm:sqref>
        </x14:conditionalFormatting>
        <x14:conditionalFormatting>
          <x14:cfRule type="dataBar" id="{6DDE0335-6D06-4349-A5A6-B38E50B222EF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D3:D6</xm:sqref>
        </x14:conditionalFormatting>
        <x14:conditionalFormatting>
          <x14:cfRule type="dataBar" id="{CD6EF010-1A9A-4075-8926-4B69F981CEE0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F3:F6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m="http://schemas.microsoft.com/office/excel/2006/main" xmlns:x14="http://schemas.microsoft.com/office/spreadsheetml/2009/9/main">
  <sheetPr>
    <tabColor rgb="FF4472C4"/>
    <outlinePr summaryBelow="1" summaryRight="1"/>
    <pageSetUpPr/>
  </sheetPr>
  <dimension ref="J14"/>
  <sheetViews>
    <sheetView showGridLines="1" workbookViewId="0"/>
  </sheetViews>
  <sheetFormatPr baseColWidth="8" defaultRowHeight="15"/>
  <cols>
    <col min="1" max="1" width="14" customWidth="1"/>
    <col min="2" max="2" width="12" customWidth="1"/>
    <col min="3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7" customWidth="1"/>
    <col min="9" max="9" width="17" customWidth="1"/>
    <col min="10" max="10" width="17" customWidth="1"/>
  </cols>
  <sheetData>
    <row r="1" spans="1:10" ht="30" customHeight="1">
      <c r="A1" s="4" t="s">
        <v>51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</row>
    <row r="2" spans="1:10" ht="32" customHeight="1">
      <c r="A2" s="12" t="s">
        <v>52</v>
      </c>
      <c r="B2" s="12" t="s">
        <v>53</v>
      </c>
      <c r="C2" s="12" t="s">
        <v>42</v>
      </c>
      <c r="D2" s="12" t="s">
        <v>54</v>
      </c>
      <c r="E2" s="12" t="s">
        <v>43</v>
      </c>
      <c r="F2" s="12" t="s">
        <v>55</v>
      </c>
      <c r="G2" s="12" t="s">
        <v>44</v>
      </c>
      <c r="H2" s="12" t="s">
        <v>56</v>
      </c>
      <c r="I2" s="12" t="s">
        <v>57</v>
      </c>
      <c r="J2" s="12" t="s">
        <v>58</v>
      </c>
    </row>
    <row r="3" spans="1:10">
      <c r="A3" s="13" t="s">
        <v>59</v>
      </c>
      <c r="B3" s="14">
        <v>381</v>
      </c>
      <c r="C3" s="23">
        <f>=IF(OR(B$13="",B$13=0),"",B3/B$13)</f>
        <v>0.76969696969697</v>
      </c>
      <c r="D3" s="14">
        <v>845</v>
      </c>
      <c r="E3" s="23">
        <f>=IF(OR(D$13="",D$13=0),"",D3/D$13)</f>
        <v>0.757168458781362</v>
      </c>
      <c r="F3" s="14">
        <v>894</v>
      </c>
      <c r="G3" s="23">
        <f>=IF(OR(F$13="",F$13=0),"",F3/F$13)</f>
        <v>0.748117154811716</v>
      </c>
      <c r="H3" s="14">
        <v>11792.380263</v>
      </c>
      <c r="I3" s="14">
        <v>11201.151659</v>
      </c>
      <c r="J3" s="14">
        <v>11476.29204</v>
      </c>
    </row>
    <row r="4" spans="1:10">
      <c r="A4" s="13" t="s">
        <v>60</v>
      </c>
      <c r="B4" s="14">
        <v>24</v>
      </c>
      <c r="C4" s="23">
        <f>=IF(OR(B$13="",B$13=0),"",B4/B$13)</f>
        <v>0.0484848484848485</v>
      </c>
      <c r="D4" s="14">
        <v>80</v>
      </c>
      <c r="E4" s="23">
        <f>=IF(OR(D$13="",D$13=0),"",D4/D$13)</f>
        <v>0.0716845878136201</v>
      </c>
      <c r="F4" s="14">
        <v>85</v>
      </c>
      <c r="G4" s="23">
        <f>=IF(OR(F$13="",F$13=0),"",F4/F$13)</f>
        <v>0.0711297071129707</v>
      </c>
      <c r="H4" s="14">
        <v>11159.375</v>
      </c>
      <c r="I4" s="14">
        <v>11464.873418</v>
      </c>
      <c r="J4" s="14">
        <v>12517.647059</v>
      </c>
    </row>
    <row r="5" spans="1:10">
      <c r="A5" s="13" t="s">
        <v>61</v>
      </c>
      <c r="B5" s="14">
        <v>38</v>
      </c>
      <c r="C5" s="23">
        <f>=IF(OR(B$13="",B$13=0),"",B5/B$13)</f>
        <v>0.0767676767676768</v>
      </c>
      <c r="D5" s="14">
        <v>58</v>
      </c>
      <c r="E5" s="23">
        <f>=IF(OR(D$13="",D$13=0),"",D5/D$13)</f>
        <v>0.0519713261648746</v>
      </c>
      <c r="F5" s="14">
        <v>71</v>
      </c>
      <c r="G5" s="23">
        <f>=IF(OR(F$13="",F$13=0),"",F5/F$13)</f>
        <v>0.0594142259414226</v>
      </c>
      <c r="H5" s="14">
        <v>11418.552632</v>
      </c>
      <c r="I5" s="14">
        <v>10047.413793</v>
      </c>
      <c r="J5" s="14">
        <v>10701.795775</v>
      </c>
    </row>
    <row r="6" spans="1:10">
      <c r="A6" s="13" t="s">
        <v>62</v>
      </c>
      <c r="B6" s="14">
        <v>18</v>
      </c>
      <c r="C6" s="23">
        <f>=IF(OR(B$13="",B$13=0),"",B6/B$13)</f>
        <v>0.0363636363636364</v>
      </c>
      <c r="D6" s="14">
        <v>39</v>
      </c>
      <c r="E6" s="23">
        <f>=IF(OR(D$13="",D$13=0),"",D6/D$13)</f>
        <v>0.0349462365591398</v>
      </c>
      <c r="F6" s="14">
        <v>52</v>
      </c>
      <c r="G6" s="23">
        <f>=IF(OR(F$13="",F$13=0),"",F6/F$13)</f>
        <v>0.0435146443514644</v>
      </c>
      <c r="H6" s="14">
        <v>10083.333333</v>
      </c>
      <c r="I6" s="14">
        <v>11275.641026</v>
      </c>
      <c r="J6" s="14">
        <v>10666.607843</v>
      </c>
    </row>
    <row r="7" spans="1:10">
      <c r="A7" s="13" t="s">
        <v>63</v>
      </c>
      <c r="B7" s="14">
        <v>16</v>
      </c>
      <c r="C7" s="23">
        <f>=IF(OR(B$13="",B$13=0),"",B7/B$13)</f>
        <v>0.0323232323232323</v>
      </c>
      <c r="D7" s="14">
        <v>43</v>
      </c>
      <c r="E7" s="23">
        <f>=IF(OR(D$13="",D$13=0),"",D7/D$13)</f>
        <v>0.0385304659498208</v>
      </c>
      <c r="F7" s="14">
        <v>43</v>
      </c>
      <c r="G7" s="23">
        <f>=IF(OR(F$13="",F$13=0),"",F7/F$13)</f>
        <v>0.0359832635983264</v>
      </c>
      <c r="H7" s="14">
        <v>8906.25</v>
      </c>
      <c r="I7" s="14">
        <v>13152.380952</v>
      </c>
      <c r="J7" s="14">
        <v>12020.930233</v>
      </c>
    </row>
    <row r="8" spans="1:10">
      <c r="A8" s="13" t="s">
        <v>64</v>
      </c>
      <c r="B8" s="14">
        <v>9</v>
      </c>
      <c r="C8" s="23">
        <f>=IF(OR(B$13="",B$13=0),"",B8/B$13)</f>
        <v>0.0181818181818182</v>
      </c>
      <c r="D8" s="14">
        <v>24</v>
      </c>
      <c r="E8" s="23">
        <f>=IF(OR(D$13="",D$13=0),"",D8/D$13)</f>
        <v>0.021505376344086</v>
      </c>
      <c r="F8" s="14">
        <v>29</v>
      </c>
      <c r="G8" s="23">
        <f>=IF(OR(F$13="",F$13=0),"",F8/F$13)</f>
        <v>0.0242677824267782</v>
      </c>
      <c r="H8" s="14">
        <v>10305.555556</v>
      </c>
      <c r="I8" s="14">
        <v>11495.9375</v>
      </c>
      <c r="J8" s="14">
        <v>11387.931034</v>
      </c>
    </row>
    <row r="9" spans="1:10">
      <c r="A9" s="13" t="s">
        <v>65</v>
      </c>
      <c r="B9" s="14">
        <v>9</v>
      </c>
      <c r="C9" s="23">
        <f>=IF(OR(B$13="",B$13=0),"",B9/B$13)</f>
        <v>0.0181818181818182</v>
      </c>
      <c r="D9" s="14">
        <v>23</v>
      </c>
      <c r="E9" s="23">
        <f>=IF(OR(D$13="",D$13=0),"",D9/D$13)</f>
        <v>0.0206093189964158</v>
      </c>
      <c r="F9" s="14">
        <v>18</v>
      </c>
      <c r="G9" s="23">
        <f>=IF(OR(F$13="",F$13=0),"",F9/F$13)</f>
        <v>0.0150627615062762</v>
      </c>
      <c r="H9" s="14">
        <v>12666.666667</v>
      </c>
      <c r="I9" s="14">
        <v>14677.282609</v>
      </c>
      <c r="J9" s="14">
        <v>11323.75</v>
      </c>
    </row>
    <row r="10" spans="1:10">
      <c r="A10" s="13" t="s">
        <v>66</v>
      </c>
      <c r="B10" s="14" t="s"/>
      <c r="C10" s="23">
        <f>=IF(OR(B$13="",B$13=0),"",B10/B$13)</f>
        <v>0</v>
      </c>
      <c r="D10" s="14">
        <v>1</v>
      </c>
      <c r="E10" s="23">
        <f>=IF(OR(D$13="",D$13=0),"",D10/D$13)</f>
        <v>0.000896057347670251</v>
      </c>
      <c r="F10" s="14">
        <v>3</v>
      </c>
      <c r="G10" s="23">
        <f>=IF(OR(F$13="",F$13=0),"",F10/F$13)</f>
        <v>0.00251046025104603</v>
      </c>
      <c r="H10" s="14" t="s"/>
      <c r="I10" s="14">
        <v>8000</v>
      </c>
      <c r="J10" s="14">
        <v>13250</v>
      </c>
    </row>
    <row r="11" spans="1:10">
      <c r="A11" s="13" t="s">
        <v>67</v>
      </c>
      <c r="B11" s="14" t="s"/>
      <c r="C11" s="23">
        <f>=IF(OR(B$13="",B$13=0),"",B11/B$13)</f>
        <v>0</v>
      </c>
      <c r="D11" s="14">
        <v>2</v>
      </c>
      <c r="E11" s="23">
        <f>=IF(OR(D$13="",D$13=0),"",D11/D$13)</f>
        <v>0.0017921146953405</v>
      </c>
      <c r="F11" s="14" t="s"/>
      <c r="G11" s="23">
        <f>=IF(OR(F$13="",F$13=0),"",F11/F$13)</f>
        <v>0</v>
      </c>
      <c r="H11" s="14" t="s"/>
      <c r="I11" s="14">
        <v>10750</v>
      </c>
      <c r="J11" s="14" t="s"/>
    </row>
    <row r="12" spans="1:10">
      <c r="A12" s="13" t="s">
        <v>68</v>
      </c>
      <c r="B12" s="14" t="s"/>
      <c r="C12" s="23">
        <f>=IF(OR(B$13="",B$13=0),"",B12/B$13)</f>
        <v>0</v>
      </c>
      <c r="D12" s="14">
        <v>1</v>
      </c>
      <c r="E12" s="23">
        <f>=IF(OR(D$13="",D$13=0),"",D12/D$13)</f>
        <v>0.000896057347670251</v>
      </c>
      <c r="F12" s="14" t="s"/>
      <c r="G12" s="23">
        <f>=IF(OR(F$13="",F$13=0),"",F12/F$13)</f>
        <v>0</v>
      </c>
      <c r="H12" s="14" t="s"/>
      <c r="I12" s="14">
        <v>11500</v>
      </c>
      <c r="J12" s="14" t="s"/>
    </row>
    <row r="13" spans="1:10">
      <c r="A13" s="17" t="s">
        <v>69</v>
      </c>
      <c r="B13" s="18">
        <f>=SUM(B3:B12)</f>
        <v>495</v>
      </c>
      <c r="C13" s="24">
        <f>=IF(OR(B13="",B13=0),"",B13/B13)</f>
        <v>1</v>
      </c>
      <c r="D13" s="18">
        <f>=SUM(D3:D12)</f>
        <v>1116</v>
      </c>
      <c r="E13" s="24">
        <f>=IF(OR(D13="",D13=0),"",D13/D13)</f>
        <v>1</v>
      </c>
      <c r="F13" s="18">
        <f>=SUM(F3:F12)</f>
        <v>1195</v>
      </c>
      <c r="G13" s="24">
        <f>=IF(OR(F13="",F13=0),"",F13/F13)</f>
        <v>1</v>
      </c>
      <c r="H13" s="18">
        <f t="array" ref="H13">=IF(OR(SUM(B3:B12)=0,COUNT(H3:H12)=0),"",ROUND(SUMPRODUCT(B3:B12,H3:H12)/SUM(B3:B12),0))</f>
        <v>11566</v>
      </c>
      <c r="I13" s="18">
        <f t="array" ref="I13">=IF(OR(SUM(D3:D12)=0,COUNT(I3:I12)=0),"",ROUND(SUMPRODUCT(D3:D12,I3:I12)/SUM(D3:D12),0))</f>
        <v>11312</v>
      </c>
      <c r="J13" s="18">
        <f t="array" ref="J13">=IF(OR(SUM(F3:F12)=0,COUNT(J3:J12)=0),"",ROUND(SUMPRODUCT(F3:F12,J3:J12)/SUM(F3:F12),0))</f>
        <v>11489</v>
      </c>
    </row>
    <row r="14" spans="1:1" ht="15" customHeight="1">
      <c r="A14" s="22" t="s">
        <v>70</v>
      </c>
    </row>
  </sheetData>
  <mergeCells count="2">
    <mergeCell ref="A1:J1"/>
    <mergeCell ref="A14:J14"/>
  </mergeCells>
  <conditionalFormatting sqref="B3:B12">
    <cfRule type="dataBar" priority="1">
      <dataBar showValue="1">
        <cfvo type="num" val="0"/>
        <cfvo type="max"/>
        <color rgb="FF4472C4"/>
      </dataBar>
      <extLst>
        <ext uri="{B025F937-C7B1-47D3-B67F-A62EFF666E3E}">
          <x14:id>{F465A0BA-9919-40D2-BBC6-92A2EB9A3D80}</x14:id>
        </ext>
      </extLst>
    </cfRule>
  </conditionalFormatting>
  <conditionalFormatting sqref="D3:D12">
    <cfRule type="dataBar" priority="2">
      <dataBar showValue="1">
        <cfvo type="num" val="0"/>
        <cfvo type="max"/>
        <color rgb="FF4472C4"/>
      </dataBar>
      <extLst>
        <ext uri="{B025F937-C7B1-47D3-B67F-A62EFF666E3E}">
          <x14:id>{BBF0AEED-4BD9-4DA4-A0F3-6CD2A74ACE14}</x14:id>
        </ext>
      </extLst>
    </cfRule>
  </conditionalFormatting>
  <conditionalFormatting sqref="F3:F12">
    <cfRule type="dataBar" priority="3">
      <dataBar showValue="1">
        <cfvo type="num" val="0"/>
        <cfvo type="max"/>
        <color rgb="FF4472C4"/>
      </dataBar>
      <extLst>
        <ext uri="{B025F937-C7B1-47D3-B67F-A62EFF666E3E}">
          <x14:id>{5046ED5C-1652-41B5-9593-56BD38D5D9B2}</x14:id>
        </ext>
      </extLst>
    </cfRule>
  </conditionalFormatting>
  <pageMargins left="0.75" right="0.75" top="1" bottom="1" header="0.5" footer="0.5"/>
  <drawing r:id="rId0"/>
  <extLst>
    <ext uri="{78C0D931-6437-407d-A8EE-F0AAD7539E65}">
      <x14:conditionalFormattings>
        <x14:conditionalFormatting>
          <x14:cfRule type="dataBar" id="{F465A0BA-9919-40D2-BBC6-92A2EB9A3D80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B3:B12</xm:sqref>
        </x14:conditionalFormatting>
        <x14:conditionalFormatting>
          <x14:cfRule type="dataBar" id="{BBF0AEED-4BD9-4DA4-A0F3-6CD2A74ACE14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D3:D12</xm:sqref>
        </x14:conditionalFormatting>
        <x14:conditionalFormatting>
          <x14:cfRule type="dataBar" id="{5046ED5C-1652-41B5-9593-56BD38D5D9B2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F3:F12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472C4"/>
    <outlinePr summaryBelow="1" summaryRight="1"/>
    <pageSetUpPr/>
  </sheetPr>
  <dimension ref="G12"/>
  <sheetViews>
    <sheetView showGridLines="1" workbookViewId="0"/>
  </sheetViews>
  <sheetFormatPr baseColWidth="8" defaultRowHeight="15"/>
  <cols>
    <col min="1" max="1" width="14" customWidth="1"/>
    <col min="2" max="2" width="17" customWidth="1"/>
    <col min="3" max="3" width="17" customWidth="1"/>
    <col min="4" max="4" width="17" customWidth="1"/>
    <col min="5" max="5" width="12" customWidth="1"/>
    <col min="6" max="6" width="12" customWidth="1"/>
    <col min="7" max="7" width="12" customWidth="1"/>
  </cols>
  <sheetData>
    <row r="1" spans="1:7" ht="30" customHeight="1">
      <c r="A1" s="4" t="s">
        <v>71</v>
      </c>
      <c r="B1" s="5" t="s"/>
      <c r="C1" s="5" t="s"/>
      <c r="D1" s="5" t="s"/>
      <c r="E1" s="5" t="s"/>
      <c r="F1" s="5" t="s"/>
      <c r="G1" s="5" t="s"/>
    </row>
    <row r="2" spans="1:7" ht="32" customHeight="1">
      <c r="A2" s="12" t="s">
        <v>72</v>
      </c>
      <c r="B2" s="12" t="s">
        <v>56</v>
      </c>
      <c r="C2" s="12" t="s">
        <v>57</v>
      </c>
      <c r="D2" s="12" t="s">
        <v>58</v>
      </c>
      <c r="E2" s="12" t="s">
        <v>73</v>
      </c>
      <c r="F2" s="12" t="s">
        <v>74</v>
      </c>
      <c r="G2" s="12" t="s">
        <v>75</v>
      </c>
    </row>
    <row r="3" spans="1:7">
      <c r="A3" s="25">
        <v>1</v>
      </c>
      <c r="B3" s="14">
        <v>12838.9875</v>
      </c>
      <c r="C3" s="14">
        <v>11185.252809</v>
      </c>
      <c r="D3" s="14">
        <v>11252.771084</v>
      </c>
      <c r="E3" s="14">
        <v>40</v>
      </c>
      <c r="F3" s="14">
        <v>89</v>
      </c>
      <c r="G3" s="14">
        <v>83</v>
      </c>
    </row>
    <row r="4" spans="1:7">
      <c r="A4" s="25">
        <v>3</v>
      </c>
      <c r="B4" s="14">
        <v>12002.873134</v>
      </c>
      <c r="C4" s="14">
        <v>10951.112167</v>
      </c>
      <c r="D4" s="14">
        <v>11390.70598</v>
      </c>
      <c r="E4" s="14">
        <v>134</v>
      </c>
      <c r="F4" s="14">
        <v>264</v>
      </c>
      <c r="G4" s="14">
        <v>301</v>
      </c>
    </row>
    <row r="5" spans="1:7">
      <c r="A5" s="25">
        <v>4</v>
      </c>
      <c r="B5" s="14">
        <v>12580.294118</v>
      </c>
      <c r="C5" s="14">
        <v>11443.188889</v>
      </c>
      <c r="D5" s="14">
        <v>11730.358607</v>
      </c>
      <c r="E5" s="14">
        <v>85</v>
      </c>
      <c r="F5" s="14">
        <v>225</v>
      </c>
      <c r="G5" s="14">
        <v>245</v>
      </c>
    </row>
    <row r="6" spans="1:7">
      <c r="A6" s="25">
        <v>5</v>
      </c>
      <c r="B6" s="14">
        <v>10942.457983</v>
      </c>
      <c r="C6" s="14">
        <v>11275.668403</v>
      </c>
      <c r="D6" s="14">
        <v>11407.271903</v>
      </c>
      <c r="E6" s="14">
        <v>119</v>
      </c>
      <c r="F6" s="14">
        <v>288</v>
      </c>
      <c r="G6" s="14">
        <v>332</v>
      </c>
    </row>
    <row r="7" spans="1:7">
      <c r="A7" s="25">
        <v>6</v>
      </c>
      <c r="B7" s="14">
        <v>10814.393939</v>
      </c>
      <c r="C7" s="14">
        <v>11730.273109</v>
      </c>
      <c r="D7" s="14">
        <v>11029.353448</v>
      </c>
      <c r="E7" s="14">
        <v>66</v>
      </c>
      <c r="F7" s="14">
        <v>120</v>
      </c>
      <c r="G7" s="14">
        <v>117</v>
      </c>
    </row>
    <row r="8" spans="1:7">
      <c r="A8" s="25">
        <v>7</v>
      </c>
      <c r="B8" s="14">
        <v>9152.083333</v>
      </c>
      <c r="C8" s="14">
        <v>11934.782609</v>
      </c>
      <c r="D8" s="14">
        <v>11216.666667</v>
      </c>
      <c r="E8" s="14">
        <v>6</v>
      </c>
      <c r="F8" s="14">
        <v>23</v>
      </c>
      <c r="G8" s="14">
        <v>15</v>
      </c>
    </row>
    <row r="9" spans="1:7">
      <c r="A9" s="25">
        <v>8</v>
      </c>
      <c r="B9" s="14">
        <v>7000</v>
      </c>
      <c r="C9" s="14">
        <v>10750</v>
      </c>
      <c r="D9" s="14">
        <v>13101.388889</v>
      </c>
      <c r="E9" s="14">
        <v>1</v>
      </c>
      <c r="F9" s="14">
        <v>13</v>
      </c>
      <c r="G9" s="14">
        <v>9</v>
      </c>
    </row>
    <row r="10" spans="1:7">
      <c r="A10" s="25">
        <v>10</v>
      </c>
      <c r="B10" s="14">
        <v>10337.209302</v>
      </c>
      <c r="C10" s="14">
        <v>11614.196809</v>
      </c>
      <c r="D10" s="14">
        <v>12142.365591</v>
      </c>
      <c r="E10" s="14">
        <v>44</v>
      </c>
      <c r="F10" s="14">
        <v>94</v>
      </c>
      <c r="G10" s="14">
        <v>93</v>
      </c>
    </row>
    <row r="11" spans="1:7">
      <c r="A11" s="17" t="s">
        <v>76</v>
      </c>
      <c r="B11" s="18">
        <f t="array" ref="B11">=IF(OR(SUM(E3:E10)=0,COUNT(B3:B10)=0),"",ROUND(SUMPRODUCT(B3:B10,E3:E10)/SUM(E3:E10),0))</f>
        <v>11563</v>
      </c>
      <c r="C11" s="18">
        <f t="array" ref="C11">=IF(OR(SUM(F3:F10)=0,COUNT(C3:C10)=0),"",ROUND(SUMPRODUCT(C3:C10,F3:F10)/SUM(F3:F10),0))</f>
        <v>11310</v>
      </c>
      <c r="D11" s="18">
        <f t="array" ref="D11">=IF(OR(SUM(G3:G10)=0,COUNT(D3:D10)=0),"",ROUND(SUMPRODUCT(D3:D10,G3:G10)/SUM(G3:G10),0))</f>
        <v>11489</v>
      </c>
      <c r="E11" s="18">
        <f>=SUM(E3:E10)</f>
        <v>495</v>
      </c>
      <c r="F11" s="18">
        <f>=SUM(F3:F10)</f>
        <v>1116</v>
      </c>
      <c r="G11" s="18">
        <f>=SUM(G3:G10)</f>
        <v>1195</v>
      </c>
    </row>
    <row r="12" spans="1:1">
      <c r="A12" s="22" t="s">
        <v>77</v>
      </c>
    </row>
  </sheetData>
  <mergeCells count="2">
    <mergeCell ref="A1:G1"/>
    <mergeCell ref="A12:G12"/>
  </mergeCells>
  <pageMargins left="0.75" right="0.75" top="1" bottom="1" header="0.5" footer="0.5"/>
  <drawing r:id="rId0"/>
</worksheet>
</file>

<file path=xl/worksheets/sheet5.xml><?xml version="1.0" encoding="utf-8"?>
<worksheet xmlns="http://schemas.openxmlformats.org/spreadsheetml/2006/main" xmlns:r="http://schemas.openxmlformats.org/officeDocument/2006/relationships" xmlns:xm="http://schemas.microsoft.com/office/excel/2006/main" xmlns:x14="http://schemas.microsoft.com/office/spreadsheetml/2009/9/main">
  <sheetPr>
    <tabColor rgb="FF4472C4"/>
    <outlinePr summaryBelow="1" summaryRight="1"/>
    <pageSetUpPr/>
  </sheetPr>
  <dimension ref="G18"/>
  <sheetViews>
    <sheetView showGridLines="1" workbookViewId="0"/>
  </sheetViews>
  <sheetFormatPr baseColWidth="8" defaultRowHeight="15"/>
  <cols>
    <col min="1" max="1" width="12" customWidth="1"/>
    <col min="2" max="2" width="11" customWidth="1"/>
    <col min="3" max="3" width="11" customWidth="1"/>
    <col min="4" max="4" width="11" customWidth="1"/>
    <col min="5" max="5" width="14" customWidth="1"/>
    <col min="6" max="6" width="14" customWidth="1"/>
    <col min="7" max="7" width="14" customWidth="1"/>
  </cols>
  <sheetData>
    <row r="1" spans="1:7" ht="30" customHeight="1">
      <c r="A1" s="4" t="s">
        <v>78</v>
      </c>
      <c r="B1" s="5" t="s"/>
      <c r="C1" s="5" t="s"/>
      <c r="D1" s="5" t="s"/>
      <c r="E1" s="5" t="s"/>
      <c r="F1" s="5" t="s"/>
      <c r="G1" s="5" t="s"/>
    </row>
    <row r="2" spans="1:7" ht="20" customHeight="1">
      <c r="A2" s="12" t="s">
        <v>79</v>
      </c>
      <c r="B2" s="12" t="s">
        <v>80</v>
      </c>
      <c r="C2" s="12" t="s">
        <v>81</v>
      </c>
      <c r="D2" s="12" t="s">
        <v>82</v>
      </c>
      <c r="E2" s="12" t="s">
        <v>83</v>
      </c>
      <c r="F2" s="12" t="s">
        <v>84</v>
      </c>
      <c r="G2" s="12" t="s">
        <v>85</v>
      </c>
    </row>
    <row r="3" spans="1:7">
      <c r="A3" s="13" t="s">
        <v>86</v>
      </c>
      <c r="B3" s="14">
        <v>1</v>
      </c>
      <c r="C3" s="14">
        <v>1</v>
      </c>
      <c r="D3" s="14">
        <v>806</v>
      </c>
      <c r="E3" s="23">
        <f>=IF(OR(城市需求对比!$B$7="",城市需求对比!$B$7=0),"",B3/城市需求对比!$B$7)</f>
        <v>0.00202020202020202</v>
      </c>
      <c r="F3" s="23">
        <f>=IF(OR(城市需求对比!$D$7="",城市需求对比!$D$7=0),"",C3/城市需求对比!$D$7)</f>
        <v>0.000896057347670251</v>
      </c>
      <c r="G3" s="23">
        <f>=IF(OR(城市需求对比!$F$7="",城市需求对比!$F$7=0),"",D3/城市需求对比!$F$7)</f>
        <v>0.674476987447699</v>
      </c>
    </row>
    <row r="4" spans="1:7">
      <c r="A4" s="13" t="s">
        <v>87</v>
      </c>
      <c r="B4" s="14">
        <v>316</v>
      </c>
      <c r="C4" s="14">
        <v>8</v>
      </c>
      <c r="D4" s="14">
        <v>787</v>
      </c>
      <c r="E4" s="23">
        <f>=IF(OR(城市需求对比!$B$7="",城市需求对比!$B$7=0),"",B4/城市需求对比!$B$7)</f>
        <v>0.638383838383839</v>
      </c>
      <c r="F4" s="23">
        <f>=IF(OR(城市需求对比!$D$7="",城市需求对比!$D$7=0),"",C4/城市需求对比!$D$7)</f>
        <v>0.00716845878136201</v>
      </c>
      <c r="G4" s="23">
        <f>=IF(OR(城市需求对比!$F$7="",城市需求对比!$F$7=0),"",D4/城市需求对比!$F$7)</f>
        <v>0.658577405857741</v>
      </c>
    </row>
    <row r="5" spans="1:7">
      <c r="A5" s="13" t="s">
        <v>88</v>
      </c>
      <c r="B5" s="14">
        <v>0</v>
      </c>
      <c r="C5" s="14">
        <v>0</v>
      </c>
      <c r="D5" s="14">
        <v>777</v>
      </c>
      <c r="E5" s="23">
        <f>=IF(OR(城市需求对比!$B$7="",城市需求对比!$B$7=0),"",B5/城市需求对比!$B$7)</f>
        <v>0</v>
      </c>
      <c r="F5" s="23">
        <f>=IF(OR(城市需求对比!$D$7="",城市需求对比!$D$7=0),"",C5/城市需求对比!$D$7)</f>
        <v>0</v>
      </c>
      <c r="G5" s="23">
        <f>=IF(OR(城市需求对比!$F$7="",城市需求对比!$F$7=0),"",D5/城市需求对比!$F$7)</f>
        <v>0.650209205020921</v>
      </c>
    </row>
    <row r="6" spans="1:7">
      <c r="A6" s="13" t="s">
        <v>89</v>
      </c>
      <c r="B6" s="14">
        <v>315</v>
      </c>
      <c r="C6" s="14">
        <v>1</v>
      </c>
      <c r="D6" s="14">
        <v>755</v>
      </c>
      <c r="E6" s="23">
        <f>=IF(OR(城市需求对比!$B$7="",城市需求对比!$B$7=0),"",B6/城市需求对比!$B$7)</f>
        <v>0.636363636363637</v>
      </c>
      <c r="F6" s="23">
        <f>=IF(OR(城市需求对比!$D$7="",城市需求对比!$D$7=0),"",C6/城市需求对比!$D$7)</f>
        <v>0.000896057347670251</v>
      </c>
      <c r="G6" s="23">
        <f>=IF(OR(城市需求对比!$F$7="",城市需求对比!$F$7=0),"",D6/城市需求对比!$F$7)</f>
        <v>0.631799163179917</v>
      </c>
    </row>
    <row r="7" spans="1:7">
      <c r="A7" s="13" t="s">
        <v>90</v>
      </c>
      <c r="B7" s="14">
        <v>0</v>
      </c>
      <c r="C7" s="14">
        <v>1</v>
      </c>
      <c r="D7" s="14">
        <v>755</v>
      </c>
      <c r="E7" s="23">
        <f>=IF(OR(城市需求对比!$B$7="",城市需求对比!$B$7=0),"",B7/城市需求对比!$B$7)</f>
        <v>0</v>
      </c>
      <c r="F7" s="23">
        <f>=IF(OR(城市需求对比!$D$7="",城市需求对比!$D$7=0),"",C7/城市需求对比!$D$7)</f>
        <v>0.000896057347670251</v>
      </c>
      <c r="G7" s="23">
        <f>=IF(OR(城市需求对比!$F$7="",城市需求对比!$F$7=0),"",D7/城市需求对比!$F$7)</f>
        <v>0.631799163179917</v>
      </c>
    </row>
    <row r="8" spans="1:7">
      <c r="A8" s="13" t="s">
        <v>91</v>
      </c>
      <c r="B8" s="14">
        <v>423</v>
      </c>
      <c r="C8" s="14">
        <v>1</v>
      </c>
      <c r="D8" s="14">
        <v>13</v>
      </c>
      <c r="E8" s="23">
        <f>=IF(OR(城市需求对比!$B$7="",城市需求对比!$B$7=0),"",B8/城市需求对比!$B$7)</f>
        <v>0.854545454545455</v>
      </c>
      <c r="F8" s="23">
        <f>=IF(OR(城市需求对比!$D$7="",城市需求对比!$D$7=0),"",C8/城市需求对比!$D$7)</f>
        <v>0.000896057347670251</v>
      </c>
      <c r="G8" s="23">
        <f>=IF(OR(城市需求对比!$F$7="",城市需求对比!$F$7=0),"",D8/城市需求对比!$F$7)</f>
        <v>0.0108786610878661</v>
      </c>
    </row>
    <row r="9" spans="1:7">
      <c r="A9" s="13" t="s">
        <v>92</v>
      </c>
      <c r="B9" s="14">
        <v>347</v>
      </c>
      <c r="C9" s="14">
        <v>6</v>
      </c>
      <c r="D9" s="14">
        <v>78</v>
      </c>
      <c r="E9" s="23">
        <f>=IF(OR(城市需求对比!$B$7="",城市需求对比!$B$7=0),"",B9/城市需求对比!$B$7)</f>
        <v>0.701010101010101</v>
      </c>
      <c r="F9" s="23">
        <f>=IF(OR(城市需求对比!$D$7="",城市需求对比!$D$7=0),"",C9/城市需求对比!$D$7)</f>
        <v>0.00537634408602151</v>
      </c>
      <c r="G9" s="23">
        <f>=IF(OR(城市需求对比!$F$7="",城市需求对比!$F$7=0),"",D9/城市需求对比!$F$7)</f>
        <v>0.0652719665271967</v>
      </c>
    </row>
    <row r="10" spans="1:7">
      <c r="A10" s="13" t="s">
        <v>93</v>
      </c>
      <c r="B10" s="14">
        <v>331</v>
      </c>
      <c r="C10" s="14">
        <v>56</v>
      </c>
      <c r="D10" s="14">
        <v>20</v>
      </c>
      <c r="E10" s="23">
        <f>=IF(OR(城市需求对比!$B$7="",城市需求对比!$B$7=0),"",B10/城市需求对比!$B$7)</f>
        <v>0.668686868686869</v>
      </c>
      <c r="F10" s="23">
        <f>=IF(OR(城市需求对比!$D$7="",城市需求对比!$D$7=0),"",C10/城市需求对比!$D$7)</f>
        <v>0.0501792114695341</v>
      </c>
      <c r="G10" s="23">
        <f>=IF(OR(城市需求对比!$F$7="",城市需求对比!$F$7=0),"",D10/城市需求对比!$F$7)</f>
        <v>0.0167364016736402</v>
      </c>
    </row>
    <row r="11" spans="1:7">
      <c r="A11" s="13" t="s">
        <v>94</v>
      </c>
      <c r="B11" s="14">
        <v>323</v>
      </c>
      <c r="C11" s="14">
        <v>0</v>
      </c>
      <c r="D11" s="14">
        <v>0</v>
      </c>
      <c r="E11" s="23">
        <f>=IF(OR(城市需求对比!$B$7="",城市需求对比!$B$7=0),"",B11/城市需求对比!$B$7)</f>
        <v>0.652525252525253</v>
      </c>
      <c r="F11" s="23">
        <f>=IF(OR(城市需求对比!$D$7="",城市需求对比!$D$7=0),"",C11/城市需求对比!$D$7)</f>
        <v>0</v>
      </c>
      <c r="G11" s="23">
        <f>=IF(OR(城市需求对比!$F$7="",城市需求对比!$F$7=0),"",D11/城市需求对比!$F$7)</f>
        <v>0</v>
      </c>
    </row>
    <row r="12" spans="1:7">
      <c r="A12" s="13" t="s">
        <v>95</v>
      </c>
      <c r="B12" s="14">
        <v>323</v>
      </c>
      <c r="C12" s="14">
        <v>0</v>
      </c>
      <c r="D12" s="14">
        <v>0</v>
      </c>
      <c r="E12" s="23">
        <f>=IF(OR(城市需求对比!$B$7="",城市需求对比!$B$7=0),"",B12/城市需求对比!$B$7)</f>
        <v>0.652525252525253</v>
      </c>
      <c r="F12" s="23">
        <f>=IF(OR(城市需求对比!$D$7="",城市需求对比!$D$7=0),"",C12/城市需求对比!$D$7)</f>
        <v>0</v>
      </c>
      <c r="G12" s="23">
        <f>=IF(OR(城市需求对比!$F$7="",城市需求对比!$F$7=0),"",D12/城市需求对比!$F$7)</f>
        <v>0</v>
      </c>
    </row>
    <row r="13" spans="1:7">
      <c r="A13" s="13" t="s">
        <v>96</v>
      </c>
      <c r="B13" s="14">
        <v>315</v>
      </c>
      <c r="C13" s="14">
        <v>0</v>
      </c>
      <c r="D13" s="14">
        <v>0</v>
      </c>
      <c r="E13" s="23">
        <f>=IF(OR(城市需求对比!$B$7="",城市需求对比!$B$7=0),"",B13/城市需求对比!$B$7)</f>
        <v>0.636363636363637</v>
      </c>
      <c r="F13" s="23">
        <f>=IF(OR(城市需求对比!$D$7="",城市需求对比!$D$7=0),"",C13/城市需求对比!$D$7)</f>
        <v>0</v>
      </c>
      <c r="G13" s="23">
        <f>=IF(OR(城市需求对比!$F$7="",城市需求对比!$F$7=0),"",D13/城市需求对比!$F$7)</f>
        <v>0</v>
      </c>
    </row>
    <row r="14" spans="1:7">
      <c r="A14" s="13" t="s">
        <v>97</v>
      </c>
      <c r="B14" s="14">
        <v>313</v>
      </c>
      <c r="C14" s="14">
        <v>5</v>
      </c>
      <c r="D14" s="14">
        <v>15</v>
      </c>
      <c r="E14" s="23">
        <f>=IF(OR(城市需求对比!$B$7="",城市需求对比!$B$7=0),"",B14/城市需求对比!$B$7)</f>
        <v>0.632323232323232</v>
      </c>
      <c r="F14" s="23">
        <f>=IF(OR(城市需求对比!$D$7="",城市需求对比!$D$7=0),"",C14/城市需求对比!$D$7)</f>
        <v>0.00448028673835126</v>
      </c>
      <c r="G14" s="23">
        <f>=IF(OR(城市需求对比!$F$7="",城市需求对比!$F$7=0),"",D14/城市需求对比!$F$7)</f>
        <v>0.0125523012552301</v>
      </c>
    </row>
    <row r="15" spans="1:7">
      <c r="A15" s="13" t="s">
        <v>98</v>
      </c>
      <c r="B15" s="14">
        <v>307</v>
      </c>
      <c r="C15" s="14">
        <v>0</v>
      </c>
      <c r="D15" s="14">
        <v>0</v>
      </c>
      <c r="E15" s="23">
        <f>=IF(OR(城市需求对比!$B$7="",城市需求对比!$B$7=0),"",B15/城市需求对比!$B$7)</f>
        <v>0.62020202020202</v>
      </c>
      <c r="F15" s="23">
        <f>=IF(OR(城市需求对比!$D$7="",城市需求对比!$D$7=0),"",C15/城市需求对比!$D$7)</f>
        <v>0</v>
      </c>
      <c r="G15" s="23">
        <f>=IF(OR(城市需求对比!$F$7="",城市需求对比!$F$7=0),"",D15/城市需求对比!$F$7)</f>
        <v>0</v>
      </c>
    </row>
    <row r="16" spans="1:7">
      <c r="A16" s="13" t="s">
        <v>99</v>
      </c>
      <c r="B16" s="14">
        <v>307</v>
      </c>
      <c r="C16" s="14">
        <v>0</v>
      </c>
      <c r="D16" s="14">
        <v>0</v>
      </c>
      <c r="E16" s="23">
        <f>=IF(OR(城市需求对比!$B$7="",城市需求对比!$B$7=0),"",B16/城市需求对比!$B$7)</f>
        <v>0.62020202020202</v>
      </c>
      <c r="F16" s="23">
        <f>=IF(OR(城市需求对比!$D$7="",城市需求对比!$D$7=0),"",C16/城市需求对比!$D$7)</f>
        <v>0</v>
      </c>
      <c r="G16" s="23">
        <f>=IF(OR(城市需求对比!$F$7="",城市需求对比!$F$7=0),"",D16/城市需求对比!$F$7)</f>
        <v>0</v>
      </c>
    </row>
    <row r="17" spans="1:7">
      <c r="A17" s="13" t="s">
        <v>100</v>
      </c>
      <c r="B17" s="14">
        <v>291</v>
      </c>
      <c r="C17" s="14">
        <v>1</v>
      </c>
      <c r="D17" s="14">
        <v>12</v>
      </c>
      <c r="E17" s="23">
        <f>=IF(OR(城市需求对比!$B$7="",城市需求对比!$B$7=0),"",B17/城市需求对比!$B$7)</f>
        <v>0.587878787878788</v>
      </c>
      <c r="F17" s="23">
        <f>=IF(OR(城市需求对比!$D$7="",城市需求对比!$D$7=0),"",C17/城市需求对比!$D$7)</f>
        <v>0.000896057347670251</v>
      </c>
      <c r="G17" s="23">
        <f>=IF(OR(城市需求对比!$F$7="",城市需求对比!$F$7=0),"",D17/城市需求对比!$F$7)</f>
        <v>0.0100418410041841</v>
      </c>
    </row>
    <row r="18" spans="1:1" ht="15" customHeight="1">
      <c r="A18" s="22" t="s">
        <v>101</v>
      </c>
    </row>
  </sheetData>
  <mergeCells count="2">
    <mergeCell ref="A1:G1"/>
    <mergeCell ref="A18:G18"/>
  </mergeCells>
  <conditionalFormatting sqref="E3:E17">
    <cfRule type="dataBar" priority="1">
      <dataBar showValue="1">
        <cfvo type="num" val="0"/>
        <cfvo type="max"/>
        <color rgb="FF4472C4"/>
      </dataBar>
      <extLst>
        <ext uri="{B025F937-C7B1-47D3-B67F-A62EFF666E3E}">
          <x14:id>{81D3916D-6851-4FE4-A123-3A735C79EA54}</x14:id>
        </ext>
      </extLst>
    </cfRule>
  </conditionalFormatting>
  <conditionalFormatting sqref="F3:F17">
    <cfRule type="dataBar" priority="2">
      <dataBar showValue="1">
        <cfvo type="num" val="0"/>
        <cfvo type="max"/>
        <color rgb="FF4472C4"/>
      </dataBar>
      <extLst>
        <ext uri="{B025F937-C7B1-47D3-B67F-A62EFF666E3E}">
          <x14:id>{B280ECD9-E8B3-4024-95C1-33D9F01BCF5E}</x14:id>
        </ext>
      </extLst>
    </cfRule>
  </conditionalFormatting>
  <conditionalFormatting sqref="G3:G17">
    <cfRule type="dataBar" priority="3">
      <dataBar showValue="1">
        <cfvo type="num" val="0"/>
        <cfvo type="max"/>
        <color rgb="FF4472C4"/>
      </dataBar>
      <extLst>
        <ext uri="{B025F937-C7B1-47D3-B67F-A62EFF666E3E}">
          <x14:id>{73010FAB-CEA0-4E21-8986-684F1255AB13}</x14:id>
        </ext>
      </extLst>
    </cfRule>
  </conditionalFormatting>
  <pageMargins left="0.75" right="0.75" top="1" bottom="1" header="0.5" footer="0.5"/>
  <drawing r:id="rId0"/>
  <extLst>
    <ext uri="{78C0D931-6437-407d-A8EE-F0AAD7539E65}">
      <x14:conditionalFormattings>
        <x14:conditionalFormatting>
          <x14:cfRule type="dataBar" id="{81D3916D-6851-4FE4-A123-3A735C79EA54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E3:E17</xm:sqref>
        </x14:conditionalFormatting>
        <x14:conditionalFormatting>
          <x14:cfRule type="dataBar" id="{B280ECD9-E8B3-4024-95C1-33D9F01BCF5E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F3:F17</xm:sqref>
        </x14:conditionalFormatting>
        <x14:conditionalFormatting>
          <x14:cfRule type="dataBar" id="{73010FAB-CEA0-4E21-8986-684F1255AB13}">
            <x14:dataBar showValue="1">
              <x14:cfvo type="num">
                <xm:f>0</xm:f>
              </x14:cfvo>
              <x14:cfvo type="max"/>
              <x14:negativeFillColor rgb="FFBED4FA"/>
            </x14:dataBar>
          </x14:cfRule>
          <xm:sqref>G3:G17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B12"/>
  <sheetViews>
    <sheetView showGridLines="1" workbookViewId="0"/>
  </sheetViews>
  <sheetFormatPr baseColWidth="8" defaultRowHeight="15"/>
  <cols>
    <col min="1" max="1" width="16" customWidth="1"/>
    <col min="2" max="2" width="100" customWidth="1"/>
  </cols>
  <sheetData>
    <row r="1" spans="1:2" ht="30" customHeight="1">
      <c r="A1" s="4" t="s">
        <v>102</v>
      </c>
      <c r="B1" s="5" t="s"/>
    </row>
    <row r="2" spans="1:2" ht="20" customHeight="1">
      <c r="A2" s="12" t="s">
        <v>103</v>
      </c>
      <c r="B2" s="12" t="s">
        <v>102</v>
      </c>
    </row>
    <row r="3" spans="1:2" ht="51" customHeight="1">
      <c r="A3" s="26" t="s">
        <v>104</v>
      </c>
      <c r="B3" s="27" t="s">
        <v>105</v>
      </c>
    </row>
    <row r="4" spans="1:2" ht="36" customHeight="1">
      <c r="A4" s="26" t="s">
        <v>106</v>
      </c>
      <c r="B4" s="27" t="s">
        <v>107</v>
      </c>
    </row>
    <row r="5" spans="1:2" ht="21" customHeight="1">
      <c r="A5" s="26" t="s">
        <v>108</v>
      </c>
      <c r="B5" s="27" t="s">
        <v>109</v>
      </c>
    </row>
    <row r="6" spans="1:2" ht="21" customHeight="1">
      <c r="A6" s="26" t="s">
        <v>110</v>
      </c>
      <c r="B6" s="27" t="s">
        <v>111</v>
      </c>
    </row>
    <row r="7" spans="1:2" ht="51" customHeight="1">
      <c r="A7" s="26" t="s">
        <v>112</v>
      </c>
      <c r="B7" s="27" t="s">
        <v>113</v>
      </c>
    </row>
    <row r="8" spans="1:2" ht="36" customHeight="1">
      <c r="A8" s="26" t="s">
        <v>114</v>
      </c>
      <c r="B8" s="27" t="s">
        <v>115</v>
      </c>
    </row>
    <row r="9" spans="1:2" ht="36" customHeight="1">
      <c r="A9" s="26" t="s">
        <v>116</v>
      </c>
      <c r="B9" s="27" t="s">
        <v>117</v>
      </c>
    </row>
    <row r="10" spans="1:2" ht="51" customHeight="1">
      <c r="A10" s="26" t="s">
        <v>118</v>
      </c>
      <c r="B10" s="27" t="s">
        <v>119</v>
      </c>
    </row>
    <row r="11" spans="1:2" ht="21" customHeight="1">
      <c r="A11" s="26" t="s">
        <v>120</v>
      </c>
      <c r="B11" s="27" t="s">
        <v>121</v>
      </c>
    </row>
    <row r="12" spans="1:2" ht="51" customHeight="1">
      <c r="A12" s="26" t="s">
        <v>122</v>
      </c>
      <c r="B12" s="27" t="s">
        <v>123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2026-10-26T21:51:18Z</dcterms:created>
  <dcterms:modified xsi:type="dcterms:W3CDTF">2026-10-26T21:51:18Z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{"Label":"1","ContentProducer":"00119111010856365494821B355","ProduceID":"01b6a80cafb24e2dadfe2522c399fe37","ContentPropagator":"00119111010856365494821B355","PropagateID":"01b6a80cafb24e2dadfe2522c399fe37"}</vt:lpwstr>
  </property>
</Properties>
</file>